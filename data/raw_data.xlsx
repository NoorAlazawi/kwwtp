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nas\Downloads\"/>
    </mc:Choice>
  </mc:AlternateContent>
  <xr:revisionPtr revIDLastSave="0" documentId="13_ncr:1_{DBA3F2EE-7CE2-46AD-B8B6-E46DCE7EB4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plant information" sheetId="6" r:id="rId2"/>
    <sheet name="Calculation" sheetId="9" r:id="rId3"/>
    <sheet name="statistical analysis" sheetId="3" r:id="rId4"/>
    <sheet name="Scientific References" sheetId="14" r:id="rId5"/>
    <sheet name="Diagnosis" sheetId="15" r:id="rId6"/>
    <sheet name="Clarifier Health Index CHI" sheetId="16" r:id="rId7"/>
    <sheet name="Clarifier Stability Index CSI" sheetId="17" r:id="rId8"/>
    <sheet name="Clarifier Risk Index CRI" sheetId="18" r:id="rId9"/>
    <sheet name="Smart Alarm System" sheetId="19" r:id="rId10"/>
    <sheet name="Operator Scorecard" sheetId="20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93" i="1" l="1"/>
  <c r="F192" i="1"/>
  <c r="B2" i="9" l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I5" i="15" l="1"/>
  <c r="I6" i="15"/>
  <c r="I7" i="15"/>
  <c r="I8" i="15"/>
  <c r="I9" i="15"/>
  <c r="I10" i="15"/>
  <c r="I4" i="15"/>
  <c r="N10" i="15"/>
  <c r="B4" i="3" l="1"/>
  <c r="G4" i="3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4" i="15"/>
  <c r="C59" i="9" l="1"/>
  <c r="A59" i="9"/>
  <c r="C358" i="9"/>
  <c r="A358" i="9"/>
  <c r="C342" i="9"/>
  <c r="A342" i="9"/>
  <c r="C326" i="9"/>
  <c r="A326" i="9"/>
  <c r="C310" i="9"/>
  <c r="A310" i="9"/>
  <c r="C294" i="9"/>
  <c r="A294" i="9"/>
  <c r="C278" i="9"/>
  <c r="A278" i="9"/>
  <c r="C262" i="9"/>
  <c r="A262" i="9"/>
  <c r="C246" i="9"/>
  <c r="A246" i="9"/>
  <c r="C230" i="9"/>
  <c r="A230" i="9"/>
  <c r="C214" i="9"/>
  <c r="A214" i="9"/>
  <c r="C198" i="9"/>
  <c r="A198" i="9"/>
  <c r="C182" i="9"/>
  <c r="A182" i="9"/>
  <c r="C166" i="9"/>
  <c r="A166" i="9"/>
  <c r="C150" i="9"/>
  <c r="A150" i="9"/>
  <c r="C134" i="9"/>
  <c r="A134" i="9"/>
  <c r="C118" i="9"/>
  <c r="A118" i="9"/>
  <c r="C102" i="9"/>
  <c r="A102" i="9"/>
  <c r="C86" i="9"/>
  <c r="A86" i="9"/>
  <c r="C70" i="9"/>
  <c r="A70" i="9"/>
  <c r="C54" i="9"/>
  <c r="A54" i="9"/>
  <c r="C38" i="9"/>
  <c r="A38" i="9"/>
  <c r="C22" i="9"/>
  <c r="A22" i="9"/>
  <c r="C6" i="9"/>
  <c r="A6" i="9"/>
  <c r="C251" i="9"/>
  <c r="A251" i="9"/>
  <c r="C341" i="9"/>
  <c r="A341" i="9"/>
  <c r="C277" i="9"/>
  <c r="A277" i="9"/>
  <c r="C245" i="9"/>
  <c r="A245" i="9"/>
  <c r="C213" i="9"/>
  <c r="A213" i="9"/>
  <c r="C181" i="9"/>
  <c r="A181" i="9"/>
  <c r="C149" i="9"/>
  <c r="A149" i="9"/>
  <c r="C117" i="9"/>
  <c r="A117" i="9"/>
  <c r="C85" i="9"/>
  <c r="A85" i="9"/>
  <c r="C69" i="9"/>
  <c r="A69" i="9"/>
  <c r="C53" i="9"/>
  <c r="A53" i="9"/>
  <c r="C21" i="9"/>
  <c r="A21" i="9"/>
  <c r="C5" i="9"/>
  <c r="A5" i="9"/>
  <c r="C356" i="9"/>
  <c r="A356" i="9"/>
  <c r="C340" i="9"/>
  <c r="A340" i="9"/>
  <c r="C324" i="9"/>
  <c r="A324" i="9"/>
  <c r="C308" i="9"/>
  <c r="A308" i="9"/>
  <c r="C292" i="9"/>
  <c r="A292" i="9"/>
  <c r="C276" i="9"/>
  <c r="A276" i="9"/>
  <c r="C260" i="9"/>
  <c r="A260" i="9"/>
  <c r="C244" i="9"/>
  <c r="A244" i="9"/>
  <c r="C228" i="9"/>
  <c r="A228" i="9"/>
  <c r="C212" i="9"/>
  <c r="A212" i="9"/>
  <c r="C196" i="9"/>
  <c r="A196" i="9"/>
  <c r="C180" i="9"/>
  <c r="A180" i="9"/>
  <c r="C164" i="9"/>
  <c r="A164" i="9"/>
  <c r="C148" i="9"/>
  <c r="A148" i="9"/>
  <c r="C132" i="9"/>
  <c r="A132" i="9"/>
  <c r="C116" i="9"/>
  <c r="A116" i="9"/>
  <c r="C100" i="9"/>
  <c r="A100" i="9"/>
  <c r="C84" i="9"/>
  <c r="A84" i="9"/>
  <c r="C68" i="9"/>
  <c r="A68" i="9"/>
  <c r="C52" i="9"/>
  <c r="A52" i="9"/>
  <c r="C36" i="9"/>
  <c r="A36" i="9"/>
  <c r="C20" i="9"/>
  <c r="A20" i="9"/>
  <c r="C4" i="9"/>
  <c r="A4" i="9"/>
  <c r="C363" i="9"/>
  <c r="A363" i="9"/>
  <c r="C171" i="9"/>
  <c r="A171" i="9"/>
  <c r="C293" i="9"/>
  <c r="A293" i="9"/>
  <c r="C261" i="9"/>
  <c r="A261" i="9"/>
  <c r="C229" i="9"/>
  <c r="A229" i="9"/>
  <c r="C197" i="9"/>
  <c r="A197" i="9"/>
  <c r="C165" i="9"/>
  <c r="A165" i="9"/>
  <c r="C133" i="9"/>
  <c r="A133" i="9"/>
  <c r="C101" i="9"/>
  <c r="A101" i="9"/>
  <c r="C37" i="9"/>
  <c r="A37" i="9"/>
  <c r="C355" i="9"/>
  <c r="A355" i="9"/>
  <c r="C339" i="9"/>
  <c r="A339" i="9"/>
  <c r="C323" i="9"/>
  <c r="A323" i="9"/>
  <c r="C307" i="9"/>
  <c r="A307" i="9"/>
  <c r="C291" i="9"/>
  <c r="A291" i="9"/>
  <c r="C275" i="9"/>
  <c r="A275" i="9"/>
  <c r="C259" i="9"/>
  <c r="A259" i="9"/>
  <c r="C243" i="9"/>
  <c r="A243" i="9"/>
  <c r="C227" i="9"/>
  <c r="A227" i="9"/>
  <c r="C211" i="9"/>
  <c r="A211" i="9"/>
  <c r="C195" i="9"/>
  <c r="A195" i="9"/>
  <c r="C179" i="9"/>
  <c r="A179" i="9"/>
  <c r="C163" i="9"/>
  <c r="A163" i="9"/>
  <c r="C147" i="9"/>
  <c r="A147" i="9"/>
  <c r="C131" i="9"/>
  <c r="A131" i="9"/>
  <c r="C115" i="9"/>
  <c r="A115" i="9"/>
  <c r="C99" i="9"/>
  <c r="A99" i="9"/>
  <c r="C83" i="9"/>
  <c r="A83" i="9"/>
  <c r="C67" i="9"/>
  <c r="A67" i="9"/>
  <c r="C51" i="9"/>
  <c r="A51" i="9"/>
  <c r="C35" i="9"/>
  <c r="A35" i="9"/>
  <c r="C19" i="9"/>
  <c r="A19" i="9"/>
  <c r="C3" i="9"/>
  <c r="A3" i="9"/>
  <c r="C107" i="9"/>
  <c r="A107" i="9"/>
  <c r="C210" i="9"/>
  <c r="A210" i="9"/>
  <c r="C187" i="9"/>
  <c r="A187" i="9"/>
  <c r="C309" i="9"/>
  <c r="A309" i="9"/>
  <c r="C306" i="9"/>
  <c r="A306" i="9"/>
  <c r="C258" i="9"/>
  <c r="A258" i="9"/>
  <c r="C178" i="9"/>
  <c r="A178" i="9"/>
  <c r="C114" i="9"/>
  <c r="A114" i="9"/>
  <c r="C66" i="9"/>
  <c r="A66" i="9"/>
  <c r="C2" i="9"/>
  <c r="A2" i="9"/>
  <c r="C337" i="9"/>
  <c r="A337" i="9"/>
  <c r="C273" i="9"/>
  <c r="A273" i="9"/>
  <c r="C225" i="9"/>
  <c r="A225" i="9"/>
  <c r="C161" i="9"/>
  <c r="A161" i="9"/>
  <c r="C129" i="9"/>
  <c r="A129" i="9"/>
  <c r="C97" i="9"/>
  <c r="A97" i="9"/>
  <c r="C49" i="9"/>
  <c r="A49" i="9"/>
  <c r="C33" i="9"/>
  <c r="A33" i="9"/>
  <c r="C17" i="9"/>
  <c r="A17" i="9"/>
  <c r="C299" i="9"/>
  <c r="A299" i="9"/>
  <c r="C338" i="9"/>
  <c r="A338" i="9"/>
  <c r="C82" i="9"/>
  <c r="A82" i="9"/>
  <c r="C335" i="9"/>
  <c r="A335" i="9"/>
  <c r="C303" i="9"/>
  <c r="A303" i="9"/>
  <c r="C271" i="9"/>
  <c r="A271" i="9"/>
  <c r="C239" i="9"/>
  <c r="A239" i="9"/>
  <c r="C223" i="9"/>
  <c r="A223" i="9"/>
  <c r="C191" i="9"/>
  <c r="A191" i="9"/>
  <c r="C175" i="9"/>
  <c r="A175" i="9"/>
  <c r="C143" i="9"/>
  <c r="A143" i="9"/>
  <c r="C127" i="9"/>
  <c r="A127" i="9"/>
  <c r="C111" i="9"/>
  <c r="A111" i="9"/>
  <c r="C95" i="9"/>
  <c r="A95" i="9"/>
  <c r="C79" i="9"/>
  <c r="A79" i="9"/>
  <c r="C63" i="9"/>
  <c r="A63" i="9"/>
  <c r="C31" i="9"/>
  <c r="A31" i="9"/>
  <c r="C15" i="9"/>
  <c r="A15" i="9"/>
  <c r="C267" i="9"/>
  <c r="A267" i="9"/>
  <c r="C325" i="9"/>
  <c r="A325" i="9"/>
  <c r="C322" i="9"/>
  <c r="A322" i="9"/>
  <c r="C290" i="9"/>
  <c r="A290" i="9"/>
  <c r="C242" i="9"/>
  <c r="A242" i="9"/>
  <c r="C194" i="9"/>
  <c r="A194" i="9"/>
  <c r="C162" i="9"/>
  <c r="A162" i="9"/>
  <c r="C98" i="9"/>
  <c r="A98" i="9"/>
  <c r="C50" i="9"/>
  <c r="A50" i="9"/>
  <c r="C305" i="9"/>
  <c r="A305" i="9"/>
  <c r="C241" i="9"/>
  <c r="A241" i="9"/>
  <c r="C177" i="9"/>
  <c r="A177" i="9"/>
  <c r="C145" i="9"/>
  <c r="A145" i="9"/>
  <c r="C81" i="9"/>
  <c r="A81" i="9"/>
  <c r="C336" i="9"/>
  <c r="A336" i="9"/>
  <c r="C320" i="9"/>
  <c r="A320" i="9"/>
  <c r="C304" i="9"/>
  <c r="A304" i="9"/>
  <c r="C288" i="9"/>
  <c r="A288" i="9"/>
  <c r="C272" i="9"/>
  <c r="A272" i="9"/>
  <c r="C256" i="9"/>
  <c r="A256" i="9"/>
  <c r="C224" i="9"/>
  <c r="A224" i="9"/>
  <c r="C192" i="9"/>
  <c r="A192" i="9"/>
  <c r="C176" i="9"/>
  <c r="A176" i="9"/>
  <c r="C160" i="9"/>
  <c r="A160" i="9"/>
  <c r="C144" i="9"/>
  <c r="A144" i="9"/>
  <c r="C128" i="9"/>
  <c r="A128" i="9"/>
  <c r="C112" i="9"/>
  <c r="A112" i="9"/>
  <c r="C96" i="9"/>
  <c r="A96" i="9"/>
  <c r="C80" i="9"/>
  <c r="A80" i="9"/>
  <c r="C64" i="9"/>
  <c r="A64" i="9"/>
  <c r="C48" i="9"/>
  <c r="A48" i="9"/>
  <c r="C32" i="9"/>
  <c r="A32" i="9"/>
  <c r="C16" i="9"/>
  <c r="A16" i="9"/>
  <c r="C351" i="9"/>
  <c r="A351" i="9"/>
  <c r="C319" i="9"/>
  <c r="A319" i="9"/>
  <c r="C287" i="9"/>
  <c r="A287" i="9"/>
  <c r="C255" i="9"/>
  <c r="A255" i="9"/>
  <c r="C207" i="9"/>
  <c r="A207" i="9"/>
  <c r="C159" i="9"/>
  <c r="A159" i="9"/>
  <c r="C47" i="9"/>
  <c r="A47" i="9"/>
  <c r="C366" i="9"/>
  <c r="A366" i="9"/>
  <c r="C350" i="9"/>
  <c r="A350" i="9"/>
  <c r="C334" i="9"/>
  <c r="A334" i="9"/>
  <c r="C318" i="9"/>
  <c r="A318" i="9"/>
  <c r="C302" i="9"/>
  <c r="A302" i="9"/>
  <c r="C286" i="9"/>
  <c r="A286" i="9"/>
  <c r="C270" i="9"/>
  <c r="A270" i="9"/>
  <c r="C254" i="9"/>
  <c r="A254" i="9"/>
  <c r="C238" i="9"/>
  <c r="A238" i="9"/>
  <c r="C222" i="9"/>
  <c r="A222" i="9"/>
  <c r="C206" i="9"/>
  <c r="A206" i="9"/>
  <c r="C190" i="9"/>
  <c r="A190" i="9"/>
  <c r="C174" i="9"/>
  <c r="A174" i="9"/>
  <c r="C158" i="9"/>
  <c r="A158" i="9"/>
  <c r="C142" i="9"/>
  <c r="A142" i="9"/>
  <c r="C126" i="9"/>
  <c r="A126" i="9"/>
  <c r="C110" i="9"/>
  <c r="A110" i="9"/>
  <c r="C94" i="9"/>
  <c r="A94" i="9"/>
  <c r="C78" i="9"/>
  <c r="A78" i="9"/>
  <c r="C62" i="9"/>
  <c r="A62" i="9"/>
  <c r="C46" i="9"/>
  <c r="A46" i="9"/>
  <c r="C30" i="9"/>
  <c r="A30" i="9"/>
  <c r="C14" i="9"/>
  <c r="A14" i="9"/>
  <c r="C219" i="9"/>
  <c r="A219" i="9"/>
  <c r="C357" i="9"/>
  <c r="A357" i="9"/>
  <c r="C274" i="9"/>
  <c r="A274" i="9"/>
  <c r="C146" i="9"/>
  <c r="A146" i="9"/>
  <c r="C34" i="9"/>
  <c r="A34" i="9"/>
  <c r="C353" i="9"/>
  <c r="A353" i="9"/>
  <c r="C289" i="9"/>
  <c r="A289" i="9"/>
  <c r="C209" i="9"/>
  <c r="A209" i="9"/>
  <c r="C65" i="9"/>
  <c r="A65" i="9"/>
  <c r="C240" i="9"/>
  <c r="A240" i="9"/>
  <c r="C365" i="9"/>
  <c r="A365" i="9"/>
  <c r="C349" i="9"/>
  <c r="A349" i="9"/>
  <c r="C333" i="9"/>
  <c r="A333" i="9"/>
  <c r="C317" i="9"/>
  <c r="A317" i="9"/>
  <c r="C301" i="9"/>
  <c r="A301" i="9"/>
  <c r="C285" i="9"/>
  <c r="A285" i="9"/>
  <c r="C269" i="9"/>
  <c r="A269" i="9"/>
  <c r="C253" i="9"/>
  <c r="A253" i="9"/>
  <c r="C237" i="9"/>
  <c r="A237" i="9"/>
  <c r="C221" i="9"/>
  <c r="A221" i="9"/>
  <c r="C205" i="9"/>
  <c r="A205" i="9"/>
  <c r="C189" i="9"/>
  <c r="A189" i="9"/>
  <c r="C173" i="9"/>
  <c r="A173" i="9"/>
  <c r="C157" i="9"/>
  <c r="A157" i="9"/>
  <c r="C141" i="9"/>
  <c r="A141" i="9"/>
  <c r="C125" i="9"/>
  <c r="A125" i="9"/>
  <c r="C109" i="9"/>
  <c r="A109" i="9"/>
  <c r="C93" i="9"/>
  <c r="A93" i="9"/>
  <c r="C77" i="9"/>
  <c r="A77" i="9"/>
  <c r="C61" i="9"/>
  <c r="A61" i="9"/>
  <c r="C45" i="9"/>
  <c r="A45" i="9"/>
  <c r="C29" i="9"/>
  <c r="A29" i="9"/>
  <c r="C13" i="9"/>
  <c r="A13" i="9"/>
  <c r="C331" i="9"/>
  <c r="A331" i="9"/>
  <c r="C354" i="9"/>
  <c r="A354" i="9"/>
  <c r="C226" i="9"/>
  <c r="A226" i="9"/>
  <c r="C130" i="9"/>
  <c r="A130" i="9"/>
  <c r="C18" i="9"/>
  <c r="A18" i="9"/>
  <c r="C321" i="9"/>
  <c r="A321" i="9"/>
  <c r="C257" i="9"/>
  <c r="A257" i="9"/>
  <c r="C193" i="9"/>
  <c r="A193" i="9"/>
  <c r="C113" i="9"/>
  <c r="A113" i="9"/>
  <c r="C352" i="9"/>
  <c r="A352" i="9"/>
  <c r="C208" i="9"/>
  <c r="A208" i="9"/>
  <c r="C364" i="9"/>
  <c r="A364" i="9"/>
  <c r="C348" i="9"/>
  <c r="A348" i="9"/>
  <c r="C332" i="9"/>
  <c r="A332" i="9"/>
  <c r="C316" i="9"/>
  <c r="A316" i="9"/>
  <c r="C300" i="9"/>
  <c r="A300" i="9"/>
  <c r="C284" i="9"/>
  <c r="A284" i="9"/>
  <c r="C268" i="9"/>
  <c r="A268" i="9"/>
  <c r="C252" i="9"/>
  <c r="A252" i="9"/>
  <c r="C236" i="9"/>
  <c r="A236" i="9"/>
  <c r="C220" i="9"/>
  <c r="A220" i="9"/>
  <c r="C204" i="9"/>
  <c r="A204" i="9"/>
  <c r="C188" i="9"/>
  <c r="A188" i="9"/>
  <c r="C172" i="9"/>
  <c r="A172" i="9"/>
  <c r="C156" i="9"/>
  <c r="A156" i="9"/>
  <c r="C140" i="9"/>
  <c r="A140" i="9"/>
  <c r="C124" i="9"/>
  <c r="A124" i="9"/>
  <c r="C108" i="9"/>
  <c r="A108" i="9"/>
  <c r="C92" i="9"/>
  <c r="A92" i="9"/>
  <c r="C76" i="9"/>
  <c r="A76" i="9"/>
  <c r="C60" i="9"/>
  <c r="A60" i="9"/>
  <c r="C44" i="9"/>
  <c r="A44" i="9"/>
  <c r="C28" i="9"/>
  <c r="A28" i="9"/>
  <c r="C12" i="9"/>
  <c r="A12" i="9"/>
  <c r="C235" i="9"/>
  <c r="A235" i="9"/>
  <c r="C123" i="9"/>
  <c r="A123" i="9"/>
  <c r="C43" i="9"/>
  <c r="A43" i="9"/>
  <c r="C315" i="9"/>
  <c r="A315" i="9"/>
  <c r="C139" i="9"/>
  <c r="A139" i="9"/>
  <c r="C11" i="9"/>
  <c r="A11" i="9"/>
  <c r="C330" i="9"/>
  <c r="A330" i="9"/>
  <c r="C234" i="9"/>
  <c r="A234" i="9"/>
  <c r="C347" i="9"/>
  <c r="A347" i="9"/>
  <c r="C155" i="9"/>
  <c r="A155" i="9"/>
  <c r="C27" i="9"/>
  <c r="A27" i="9"/>
  <c r="C346" i="9"/>
  <c r="A346" i="9"/>
  <c r="C282" i="9"/>
  <c r="A282" i="9"/>
  <c r="C218" i="9"/>
  <c r="A218" i="9"/>
  <c r="C170" i="9"/>
  <c r="A170" i="9"/>
  <c r="C122" i="9"/>
  <c r="A122" i="9"/>
  <c r="C74" i="9"/>
  <c r="A74" i="9"/>
  <c r="C26" i="9"/>
  <c r="A26" i="9"/>
  <c r="C361" i="9"/>
  <c r="A361" i="9"/>
  <c r="C313" i="9"/>
  <c r="A313" i="9"/>
  <c r="C265" i="9"/>
  <c r="A265" i="9"/>
  <c r="C217" i="9"/>
  <c r="A217" i="9"/>
  <c r="C169" i="9"/>
  <c r="A169" i="9"/>
  <c r="C153" i="9"/>
  <c r="A153" i="9"/>
  <c r="C137" i="9"/>
  <c r="A137" i="9"/>
  <c r="C121" i="9"/>
  <c r="A121" i="9"/>
  <c r="C89" i="9"/>
  <c r="A89" i="9"/>
  <c r="C57" i="9"/>
  <c r="A57" i="9"/>
  <c r="C41" i="9"/>
  <c r="A41" i="9"/>
  <c r="C25" i="9"/>
  <c r="A25" i="9"/>
  <c r="C9" i="9"/>
  <c r="A9" i="9"/>
  <c r="C203" i="9"/>
  <c r="A203" i="9"/>
  <c r="C75" i="9"/>
  <c r="A75" i="9"/>
  <c r="C362" i="9"/>
  <c r="A362" i="9"/>
  <c r="C298" i="9"/>
  <c r="A298" i="9"/>
  <c r="C250" i="9"/>
  <c r="A250" i="9"/>
  <c r="C186" i="9"/>
  <c r="A186" i="9"/>
  <c r="C138" i="9"/>
  <c r="A138" i="9"/>
  <c r="C90" i="9"/>
  <c r="A90" i="9"/>
  <c r="C42" i="9"/>
  <c r="A42" i="9"/>
  <c r="C329" i="9"/>
  <c r="A329" i="9"/>
  <c r="C281" i="9"/>
  <c r="A281" i="9"/>
  <c r="C233" i="9"/>
  <c r="A233" i="9"/>
  <c r="C185" i="9"/>
  <c r="A185" i="9"/>
  <c r="C105" i="9"/>
  <c r="A105" i="9"/>
  <c r="C360" i="9"/>
  <c r="A360" i="9"/>
  <c r="C328" i="9"/>
  <c r="A328" i="9"/>
  <c r="C296" i="9"/>
  <c r="A296" i="9"/>
  <c r="C264" i="9"/>
  <c r="A264" i="9"/>
  <c r="C200" i="9"/>
  <c r="A200" i="9"/>
  <c r="C168" i="9"/>
  <c r="A168" i="9"/>
  <c r="C136" i="9"/>
  <c r="A136" i="9"/>
  <c r="C104" i="9"/>
  <c r="A104" i="9"/>
  <c r="C72" i="9"/>
  <c r="A72" i="9"/>
  <c r="C8" i="9"/>
  <c r="A8" i="9"/>
  <c r="C283" i="9"/>
  <c r="A283" i="9"/>
  <c r="C91" i="9"/>
  <c r="A91" i="9"/>
  <c r="C314" i="9"/>
  <c r="A314" i="9"/>
  <c r="C266" i="9"/>
  <c r="A266" i="9"/>
  <c r="C202" i="9"/>
  <c r="A202" i="9"/>
  <c r="C154" i="9"/>
  <c r="A154" i="9"/>
  <c r="C106" i="9"/>
  <c r="A106" i="9"/>
  <c r="C58" i="9"/>
  <c r="A58" i="9"/>
  <c r="C10" i="9"/>
  <c r="A10" i="9"/>
  <c r="C345" i="9"/>
  <c r="A345" i="9"/>
  <c r="C297" i="9"/>
  <c r="A297" i="9"/>
  <c r="C249" i="9"/>
  <c r="A249" i="9"/>
  <c r="C201" i="9"/>
  <c r="A201" i="9"/>
  <c r="C73" i="9"/>
  <c r="A73" i="9"/>
  <c r="C344" i="9"/>
  <c r="A344" i="9"/>
  <c r="C312" i="9"/>
  <c r="A312" i="9"/>
  <c r="C280" i="9"/>
  <c r="A280" i="9"/>
  <c r="C248" i="9"/>
  <c r="A248" i="9"/>
  <c r="C232" i="9"/>
  <c r="A232" i="9"/>
  <c r="C216" i="9"/>
  <c r="A216" i="9"/>
  <c r="C184" i="9"/>
  <c r="A184" i="9"/>
  <c r="C152" i="9"/>
  <c r="A152" i="9"/>
  <c r="C120" i="9"/>
  <c r="A120" i="9"/>
  <c r="C88" i="9"/>
  <c r="A88" i="9"/>
  <c r="C56" i="9"/>
  <c r="A56" i="9"/>
  <c r="C40" i="9"/>
  <c r="A40" i="9"/>
  <c r="C24" i="9"/>
  <c r="A24" i="9"/>
  <c r="C359" i="9"/>
  <c r="A359" i="9"/>
  <c r="C343" i="9"/>
  <c r="A343" i="9"/>
  <c r="C327" i="9"/>
  <c r="A327" i="9"/>
  <c r="C311" i="9"/>
  <c r="A311" i="9"/>
  <c r="C295" i="9"/>
  <c r="A295" i="9"/>
  <c r="C279" i="9"/>
  <c r="A279" i="9"/>
  <c r="C263" i="9"/>
  <c r="A263" i="9"/>
  <c r="C247" i="9"/>
  <c r="A247" i="9"/>
  <c r="C231" i="9"/>
  <c r="A231" i="9"/>
  <c r="C215" i="9"/>
  <c r="A215" i="9"/>
  <c r="C199" i="9"/>
  <c r="A199" i="9"/>
  <c r="C183" i="9"/>
  <c r="A183" i="9"/>
  <c r="C167" i="9"/>
  <c r="A167" i="9"/>
  <c r="C151" i="9"/>
  <c r="A151" i="9"/>
  <c r="C135" i="9"/>
  <c r="A135" i="9"/>
  <c r="C119" i="9"/>
  <c r="A119" i="9"/>
  <c r="C103" i="9"/>
  <c r="A103" i="9"/>
  <c r="C87" i="9"/>
  <c r="A87" i="9"/>
  <c r="C71" i="9"/>
  <c r="A71" i="9"/>
  <c r="C55" i="9"/>
  <c r="A55" i="9"/>
  <c r="C39" i="9"/>
  <c r="A39" i="9"/>
  <c r="C23" i="9"/>
  <c r="A23" i="9"/>
  <c r="C7" i="9"/>
  <c r="A7" i="9"/>
  <c r="C12" i="18"/>
  <c r="B1" i="20" l="1"/>
  <c r="B8" i="19" l="1"/>
  <c r="B9" i="19"/>
  <c r="B10" i="19"/>
  <c r="B11" i="19"/>
  <c r="B12" i="19"/>
  <c r="B13" i="19"/>
  <c r="B7" i="19"/>
  <c r="A8" i="19"/>
  <c r="A9" i="19"/>
  <c r="A10" i="19"/>
  <c r="A11" i="19"/>
  <c r="A12" i="19"/>
  <c r="A13" i="19"/>
  <c r="A7" i="19"/>
  <c r="B1" i="18" l="1"/>
  <c r="B1" i="17" l="1"/>
  <c r="C10" i="16"/>
  <c r="B1" i="16"/>
  <c r="H7" i="19"/>
  <c r="H8" i="19"/>
  <c r="H9" i="19"/>
  <c r="H10" i="19"/>
  <c r="H11" i="19"/>
  <c r="H12" i="19"/>
  <c r="H13" i="19"/>
  <c r="Q4" i="15"/>
  <c r="Q5" i="15"/>
  <c r="Q6" i="15"/>
  <c r="Q7" i="15"/>
  <c r="Q8" i="15"/>
  <c r="Q9" i="15"/>
  <c r="Q10" i="15"/>
  <c r="P4" i="15"/>
  <c r="P5" i="15"/>
  <c r="P6" i="15"/>
  <c r="P7" i="15"/>
  <c r="P8" i="15"/>
  <c r="P9" i="15"/>
  <c r="P10" i="15"/>
  <c r="O4" i="15"/>
  <c r="O5" i="15"/>
  <c r="O6" i="15"/>
  <c r="O7" i="15"/>
  <c r="O8" i="15"/>
  <c r="O9" i="15"/>
  <c r="O10" i="15"/>
  <c r="N4" i="15"/>
  <c r="N5" i="15"/>
  <c r="N6" i="15"/>
  <c r="N7" i="15"/>
  <c r="N8" i="15"/>
  <c r="N9" i="15"/>
  <c r="R4" i="15"/>
  <c r="R5" i="15"/>
  <c r="R6" i="15"/>
  <c r="R7" i="15"/>
  <c r="R8" i="15"/>
  <c r="R9" i="15"/>
  <c r="R10" i="15"/>
  <c r="K4" i="15"/>
  <c r="K5" i="15"/>
  <c r="K6" i="15"/>
  <c r="K7" i="15"/>
  <c r="K8" i="15"/>
  <c r="K9" i="15"/>
  <c r="K10" i="15"/>
  <c r="C8" i="17" l="1"/>
  <c r="M4" i="15"/>
  <c r="M5" i="15"/>
  <c r="M6" i="15"/>
  <c r="M7" i="15"/>
  <c r="M8" i="15"/>
  <c r="M9" i="15"/>
  <c r="M10" i="15"/>
  <c r="L4" i="15"/>
  <c r="L5" i="15"/>
  <c r="L6" i="15"/>
  <c r="L7" i="15"/>
  <c r="L8" i="15"/>
  <c r="L9" i="15"/>
  <c r="L10" i="15"/>
  <c r="D5" i="15"/>
  <c r="D6" i="15"/>
  <c r="D7" i="15"/>
  <c r="D8" i="15"/>
  <c r="D9" i="15"/>
  <c r="D10" i="15"/>
  <c r="C4" i="15"/>
  <c r="C5" i="15"/>
  <c r="C6" i="15"/>
  <c r="C7" i="15"/>
  <c r="C8" i="15"/>
  <c r="C9" i="15"/>
  <c r="C10" i="15"/>
  <c r="B9" i="15"/>
  <c r="D8" i="17" l="1"/>
  <c r="E8" i="17" s="1"/>
  <c r="G8" i="17" s="1"/>
  <c r="E9" i="15"/>
  <c r="C12" i="19"/>
  <c r="B6" i="15"/>
  <c r="B4" i="15"/>
  <c r="H9" i="15" l="1"/>
  <c r="G9" i="15"/>
  <c r="J9" i="15"/>
  <c r="F9" i="15"/>
  <c r="C7" i="19"/>
  <c r="B8" i="17"/>
  <c r="E6" i="15"/>
  <c r="C9" i="19"/>
  <c r="E4" i="15"/>
  <c r="F309" i="9"/>
  <c r="I21" i="3"/>
  <c r="I20" i="3"/>
  <c r="H20" i="3"/>
  <c r="I19" i="3"/>
  <c r="H19" i="3"/>
  <c r="G19" i="3"/>
  <c r="I18" i="3"/>
  <c r="H18" i="3"/>
  <c r="G18" i="3"/>
  <c r="F18" i="3"/>
  <c r="I16" i="3"/>
  <c r="H16" i="3"/>
  <c r="G16" i="3"/>
  <c r="F16" i="3"/>
  <c r="E16" i="3"/>
  <c r="I15" i="3"/>
  <c r="H15" i="3"/>
  <c r="G15" i="3"/>
  <c r="F15" i="3"/>
  <c r="E15" i="3"/>
  <c r="C15" i="3"/>
  <c r="H4" i="15" l="1"/>
  <c r="G7" i="19" s="1"/>
  <c r="G4" i="15"/>
  <c r="J4" i="15"/>
  <c r="F7" i="19" s="1"/>
  <c r="G6" i="15"/>
  <c r="H6" i="15"/>
  <c r="G9" i="19" s="1"/>
  <c r="J6" i="15"/>
  <c r="F9" i="19" s="1"/>
  <c r="F4" i="15"/>
  <c r="F6" i="15"/>
  <c r="E8" i="18"/>
  <c r="B8" i="18" s="1"/>
  <c r="D8" i="18" s="1"/>
  <c r="E6" i="16"/>
  <c r="B6" i="16" s="1"/>
  <c r="D6" i="16" s="1"/>
  <c r="D7" i="19"/>
  <c r="E7" i="19" s="1"/>
  <c r="E7" i="18"/>
  <c r="B7" i="18" s="1"/>
  <c r="D7" i="18" s="1"/>
  <c r="E8" i="16"/>
  <c r="B8" i="16" s="1"/>
  <c r="D8" i="16" s="1"/>
  <c r="D9" i="19"/>
  <c r="E9" i="19" s="1"/>
  <c r="G10" i="3"/>
  <c r="G9" i="3"/>
  <c r="G8" i="3"/>
  <c r="G7" i="3"/>
  <c r="G6" i="3"/>
  <c r="F10" i="3"/>
  <c r="F9" i="3"/>
  <c r="F8" i="3"/>
  <c r="F7" i="3"/>
  <c r="F6" i="3"/>
  <c r="F4" i="3"/>
  <c r="E10" i="3"/>
  <c r="E9" i="3"/>
  <c r="E8" i="3"/>
  <c r="E7" i="3"/>
  <c r="E6" i="3"/>
  <c r="E4" i="3"/>
  <c r="D10" i="3"/>
  <c r="D9" i="3"/>
  <c r="D8" i="3"/>
  <c r="D7" i="3"/>
  <c r="D6" i="3"/>
  <c r="D4" i="3"/>
  <c r="B10" i="3"/>
  <c r="B9" i="3"/>
  <c r="B8" i="3"/>
  <c r="B7" i="3"/>
  <c r="B6" i="3"/>
  <c r="C10" i="3"/>
  <c r="C9" i="3"/>
  <c r="C8" i="3"/>
  <c r="C7" i="3"/>
  <c r="C6" i="3"/>
  <c r="C4" i="3"/>
  <c r="C3" i="3"/>
  <c r="F366" i="9"/>
  <c r="E366" i="9"/>
  <c r="D366" i="9"/>
  <c r="I366" i="1"/>
  <c r="F3" i="3"/>
  <c r="E3" i="3"/>
  <c r="D3" i="3"/>
  <c r="B3" i="3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23" i="9"/>
  <c r="D24" i="9"/>
  <c r="D25" i="9"/>
  <c r="D26" i="9"/>
  <c r="I44" i="1" l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B5" i="15" s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  <c r="B7" i="17" l="1"/>
  <c r="C8" i="19"/>
  <c r="C7" i="17"/>
  <c r="E5" i="15"/>
  <c r="G17" i="3"/>
  <c r="E17" i="3"/>
  <c r="H17" i="3"/>
  <c r="F17" i="3"/>
  <c r="D16" i="3"/>
  <c r="D15" i="3"/>
  <c r="I17" i="3"/>
  <c r="G5" i="3"/>
  <c r="F5" i="3"/>
  <c r="E5" i="3"/>
  <c r="D5" i="3"/>
  <c r="C5" i="3"/>
  <c r="B5" i="3"/>
  <c r="G3" i="3"/>
  <c r="B10" i="15"/>
  <c r="H5" i="15" l="1"/>
  <c r="G5" i="15"/>
  <c r="J5" i="15"/>
  <c r="F8" i="19" s="1"/>
  <c r="H10" i="15"/>
  <c r="G10" i="15"/>
  <c r="F5" i="15"/>
  <c r="E10" i="15"/>
  <c r="J10" i="15" s="1"/>
  <c r="C13" i="19"/>
  <c r="D7" i="17"/>
  <c r="E7" i="17" s="1"/>
  <c r="G7" i="17" s="1"/>
  <c r="E7" i="16"/>
  <c r="B7" i="16" s="1"/>
  <c r="D7" i="16" s="1"/>
  <c r="D8" i="19"/>
  <c r="E8" i="19" s="1"/>
  <c r="D12" i="19"/>
  <c r="E12" i="19" s="1"/>
  <c r="E10" i="18"/>
  <c r="B10" i="18" s="1"/>
  <c r="D10" i="18" s="1"/>
  <c r="C10" i="17"/>
  <c r="B10" i="17"/>
  <c r="G8" i="19"/>
  <c r="G12" i="19"/>
  <c r="F12" i="1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" i="9"/>
  <c r="B7" i="15" l="1"/>
  <c r="B9" i="17" s="1"/>
  <c r="F10" i="15"/>
  <c r="D10" i="17"/>
  <c r="E10" i="17" s="1"/>
  <c r="G10" i="17" s="1"/>
  <c r="D13" i="19"/>
  <c r="E13" i="19" s="1"/>
  <c r="E11" i="18"/>
  <c r="C9" i="17"/>
  <c r="F13" i="19"/>
  <c r="G13" i="19"/>
  <c r="E7" i="15" l="1"/>
  <c r="G7" i="15" s="1"/>
  <c r="C10" i="19"/>
  <c r="B11" i="18"/>
  <c r="D11" i="18" s="1"/>
  <c r="D9" i="17"/>
  <c r="E9" i="17" s="1"/>
  <c r="G9" i="17" s="1"/>
  <c r="H7" i="15" l="1"/>
  <c r="G10" i="19" s="1"/>
  <c r="E9" i="18"/>
  <c r="D10" i="19"/>
  <c r="E10" i="19" s="1"/>
  <c r="F7" i="15"/>
  <c r="J7" i="15"/>
  <c r="F10" i="19" s="1"/>
  <c r="B9" i="18"/>
  <c r="D9" i="18" s="1"/>
  <c r="B8" i="15"/>
  <c r="B2" i="18" l="1"/>
  <c r="D12" i="18"/>
  <c r="E8" i="15"/>
  <c r="C11" i="19"/>
  <c r="G11" i="17"/>
  <c r="B2" i="17"/>
  <c r="H8" i="15" l="1"/>
  <c r="G11" i="19" s="1"/>
  <c r="G8" i="15"/>
  <c r="J8" i="15"/>
  <c r="F11" i="19" s="1"/>
  <c r="B10" i="20"/>
  <c r="D10" i="20" s="1"/>
  <c r="B3" i="18"/>
  <c r="B4" i="18" s="1"/>
  <c r="F8" i="15"/>
  <c r="E9" i="16"/>
  <c r="D11" i="19"/>
  <c r="E11" i="19" s="1"/>
  <c r="B3" i="17"/>
  <c r="B4" i="17" s="1"/>
  <c r="B9" i="20"/>
  <c r="D9" i="20" s="1"/>
  <c r="B9" i="16" l="1"/>
  <c r="D9" i="16" s="1"/>
  <c r="D10" i="16" s="1"/>
  <c r="B2" i="16" s="1"/>
  <c r="C3" i="19"/>
  <c r="C1" i="19"/>
  <c r="C2" i="19"/>
  <c r="B8" i="20" l="1"/>
  <c r="D8" i="20" s="1"/>
  <c r="B3" i="16"/>
  <c r="B11" i="20"/>
  <c r="D11" i="20" s="1"/>
  <c r="D12" i="20" l="1"/>
  <c r="B2" i="20" s="1"/>
  <c r="B3" i="20" s="1"/>
  <c r="B4" i="20" s="1"/>
</calcChain>
</file>

<file path=xl/sharedStrings.xml><?xml version="1.0" encoding="utf-8"?>
<sst xmlns="http://schemas.openxmlformats.org/spreadsheetml/2006/main" count="351" uniqueCount="213">
  <si>
    <t>Data</t>
  </si>
  <si>
    <t>PH</t>
  </si>
  <si>
    <t>influent flow Q m3/d</t>
  </si>
  <si>
    <t xml:space="preserve"> total suspended solid TSS in  mg/l </t>
  </si>
  <si>
    <t xml:space="preserve">total suspended solid  TSS out  mg/l  </t>
  </si>
  <si>
    <t xml:space="preserve"> Chemical Oxygen Demand  COD in  mg/l </t>
  </si>
  <si>
    <t>Chemical Oxygen Demand  COD out  mg/l</t>
  </si>
  <si>
    <t xml:space="preserve"> Biochemical Oxygen Demand BOD in  mg/l</t>
  </si>
  <si>
    <t>Biochemical Oxygen Demand  BOD out   mg/l</t>
  </si>
  <si>
    <t xml:space="preserve">Dissolved Oxygen  DO  mg/l  </t>
  </si>
  <si>
    <t xml:space="preserve">sludge blanket m </t>
  </si>
  <si>
    <t xml:space="preserve">temperature T </t>
  </si>
  <si>
    <t>sludge volume index SVI (ml/g)</t>
  </si>
  <si>
    <t>mixed liquor suspended solids MLSS (mg/L)</t>
  </si>
  <si>
    <t>WWTP name</t>
  </si>
  <si>
    <t>process</t>
  </si>
  <si>
    <t>Number of clarifiers</t>
  </si>
  <si>
    <t>Clarifier type</t>
  </si>
  <si>
    <t xml:space="preserve">Parameter </t>
  </si>
  <si>
    <t>Value</t>
  </si>
  <si>
    <t>Karbala WWTP</t>
  </si>
  <si>
    <t>Conventional Activated Sludge</t>
  </si>
  <si>
    <t>circular</t>
  </si>
  <si>
    <t>Unit</t>
  </si>
  <si>
    <t>Diameter</t>
  </si>
  <si>
    <t>m</t>
  </si>
  <si>
    <t>Side Water Depth</t>
  </si>
  <si>
    <t>Center Depth</t>
  </si>
  <si>
    <t>Surface Area (one tank )</t>
  </si>
  <si>
    <t>Total Surface Area</t>
  </si>
  <si>
    <t>Operational volume (one tanke)</t>
  </si>
  <si>
    <t>Total Volume</t>
  </si>
  <si>
    <t>m2</t>
  </si>
  <si>
    <t>m3</t>
  </si>
  <si>
    <t>General Information</t>
  </si>
  <si>
    <t>Design Parameters</t>
  </si>
  <si>
    <t>Calculated Design Parameters</t>
  </si>
  <si>
    <t>_</t>
  </si>
  <si>
    <t>Center Depth is provided for reference only</t>
  </si>
  <si>
    <t>Surface Area calculated using A=π/4 *d2</t>
  </si>
  <si>
    <t>Operational Volume calculated using SWD = 4.0 m</t>
  </si>
  <si>
    <t>-</t>
  </si>
  <si>
    <t>Feed Pipe Diameter</t>
  </si>
  <si>
    <t>Bottom Slope</t>
  </si>
  <si>
    <t>return activated sludge rate Qr m3/d</t>
  </si>
  <si>
    <t>Waste activated sludge rate  Qw m3/d</t>
  </si>
  <si>
    <t>Solid loding Rate SLR (Kg/m2*h)</t>
  </si>
  <si>
    <t>Surface Overflow Rate SOR (m3/m2*d)</t>
  </si>
  <si>
    <t>hydraulic retention time HRT (h)</t>
  </si>
  <si>
    <t xml:space="preserve"> % TSS removal</t>
  </si>
  <si>
    <t xml:space="preserve"> % COD removal</t>
  </si>
  <si>
    <t>% BOD removal</t>
  </si>
  <si>
    <t>Descriptive Statistics</t>
  </si>
  <si>
    <t>Mean</t>
  </si>
  <si>
    <t>Median</t>
  </si>
  <si>
    <t>Min</t>
  </si>
  <si>
    <t>Max</t>
  </si>
  <si>
    <t>parameter</t>
  </si>
  <si>
    <t>Std</t>
  </si>
  <si>
    <t>CV</t>
  </si>
  <si>
    <t>Flow</t>
  </si>
  <si>
    <t>MLSS</t>
  </si>
  <si>
    <t>SVI</t>
  </si>
  <si>
    <t>DO</t>
  </si>
  <si>
    <t>Sludge blaket</t>
  </si>
  <si>
    <t>TSS Out</t>
  </si>
  <si>
    <t>COD Out</t>
  </si>
  <si>
    <t>BOD Out</t>
  </si>
  <si>
    <t>Correlattion Matrix</t>
  </si>
  <si>
    <t>Sludge blanket</t>
  </si>
  <si>
    <t xml:space="preserve">TSS Out </t>
  </si>
  <si>
    <t>unit</t>
  </si>
  <si>
    <t>SV 30 (mL/L)</t>
  </si>
  <si>
    <t>التاريخ</t>
  </si>
  <si>
    <t>درجة الحرارة</t>
  </si>
  <si>
    <t>Parameter</t>
  </si>
  <si>
    <t>Normal Range</t>
  </si>
  <si>
    <t>Warning Range</t>
  </si>
  <si>
    <t>Critical Range</t>
  </si>
  <si>
    <t>mL/g</t>
  </si>
  <si>
    <t>mg/L</t>
  </si>
  <si>
    <t>SOR</t>
  </si>
  <si>
    <t>SLR</t>
  </si>
  <si>
    <t>%</t>
  </si>
  <si>
    <t>HRT</t>
  </si>
  <si>
    <t>Reference</t>
  </si>
  <si>
    <t>High</t>
  </si>
  <si>
    <t>Medium</t>
  </si>
  <si>
    <t>RAS</t>
  </si>
  <si>
    <t>Lower is Better</t>
  </si>
  <si>
    <t>Direction</t>
  </si>
  <si>
    <t>Scientific References Database</t>
  </si>
  <si>
    <t>No.</t>
  </si>
  <si>
    <t>Symbol</t>
  </si>
  <si>
    <t>Effluent Total Suspended Solids</t>
  </si>
  <si>
    <t>TSSe</t>
  </si>
  <si>
    <t>Sludge Volume Index</t>
  </si>
  <si>
    <t>Sludge Blanket Depth</t>
  </si>
  <si>
    <t>SBD</t>
  </si>
  <si>
    <t>Surface Overflow Rate</t>
  </si>
  <si>
    <t>Solids Loading Rate</t>
  </si>
  <si>
    <t>Return Activated Sludge Ratio</t>
  </si>
  <si>
    <t>Hydraulic Retention Time</t>
  </si>
  <si>
    <t>h</t>
  </si>
  <si>
    <t>Category</t>
  </si>
  <si>
    <t>Lower Limit</t>
  </si>
  <si>
    <t>Upper Limit</t>
  </si>
  <si>
    <t>Importance</t>
  </si>
  <si>
    <t>Functional Area</t>
  </si>
  <si>
    <t>Remarks</t>
  </si>
  <si>
    <t>Water Quality</t>
  </si>
  <si>
    <t>≤20 mg/L</t>
  </si>
  <si>
    <t>21–30 mg/L</t>
  </si>
  <si>
    <t>&gt;30 mg/L</t>
  </si>
  <si>
    <t>Metcalf &amp; Eddy</t>
  </si>
  <si>
    <t>Indicates final effluent suspended solids quality</t>
  </si>
  <si>
    <t>Settling</t>
  </si>
  <si>
    <t>Target Range</t>
  </si>
  <si>
    <t>80–150 mL/g</t>
  </si>
  <si>
    <t>150–200 mL/g</t>
  </si>
  <si>
    <t>&gt;200 mL/g</t>
  </si>
  <si>
    <t>Indicates sludge settling characteristics and bulking potential</t>
  </si>
  <si>
    <t>≤1.0 m</t>
  </si>
  <si>
    <t>1.0–1.5 m</t>
  </si>
  <si>
    <t>&gt;1.5 m</t>
  </si>
  <si>
    <t>WEF Manual of Practice No. 11</t>
  </si>
  <si>
    <t>Indicates sludge accumulation and clarifier storage capacity</t>
  </si>
  <si>
    <t>Hydraulic</t>
  </si>
  <si>
    <t>16–28 m³/m²·day</t>
  </si>
  <si>
    <t>28–35 m³/m²·day</t>
  </si>
  <si>
    <t>&gt;35 m³/m²·day</t>
  </si>
  <si>
    <t>WEF Manual of Practice No. 8 / Metcalf &amp; Eddy</t>
  </si>
  <si>
    <t>Indicates the hydraulic loading applied to the clarifier surface</t>
  </si>
  <si>
    <t>Sludge Management</t>
  </si>
  <si>
    <t>4–6 kg/m²·h</t>
  </si>
  <si>
    <t>6–8 kg/m²·h</t>
  </si>
  <si>
    <t>&gt;8 kg/m²·h</t>
  </si>
  <si>
    <t>Metcalf &amp; Eddy / WEF Manual of Practice</t>
  </si>
  <si>
    <t>Indicates the solids loading applied to the clarifier and its capacity to retain sludge without washout</t>
  </si>
  <si>
    <t>25–75 %</t>
  </si>
  <si>
    <t>75–100 %</t>
  </si>
  <si>
    <t>&gt;100 %</t>
  </si>
  <si>
    <t>Indicates the percentage of return activated sludge required to maintain stable biomass concentration</t>
  </si>
  <si>
    <t>2.0–4.0 h</t>
  </si>
  <si>
    <t>1.5–2.0 h OR 4.0–5.0 h</t>
  </si>
  <si>
    <t>&lt;1.5 h OR &gt;5.0 h</t>
  </si>
  <si>
    <t>Represents the average detention time of wastewater in the secondary clarifier.</t>
  </si>
  <si>
    <t>Very High</t>
  </si>
  <si>
    <t xml:space="preserve"> Very High</t>
  </si>
  <si>
    <t>kg/m²·h</t>
  </si>
  <si>
    <t>Data Source</t>
  </si>
  <si>
    <t>Actual Value</t>
  </si>
  <si>
    <t>Status</t>
  </si>
  <si>
    <t>Severity</t>
  </si>
  <si>
    <t>Possible Cause</t>
  </si>
  <si>
    <t>Recommended Action</t>
  </si>
  <si>
    <t>Last Updated</t>
  </si>
  <si>
    <t>Secondary Clarifier Diagnosis System</t>
  </si>
  <si>
    <t>m³/m²·d</t>
  </si>
  <si>
    <t>Priority</t>
  </si>
  <si>
    <t>Selected Day</t>
  </si>
  <si>
    <t>% RAS</t>
  </si>
  <si>
    <t>% WAS</t>
  </si>
  <si>
    <t>Normal</t>
  </si>
  <si>
    <t>Warning</t>
  </si>
  <si>
    <t>Critical</t>
  </si>
  <si>
    <t>Warning Lower</t>
  </si>
  <si>
    <t>Warning Upper</t>
  </si>
  <si>
    <t>Critical Lower</t>
  </si>
  <si>
    <t>Critical Upper</t>
  </si>
  <si>
    <t>Overall CHI Score</t>
  </si>
  <si>
    <t>Health Status</t>
  </si>
  <si>
    <t>Score</t>
  </si>
  <si>
    <t>Weight</t>
  </si>
  <si>
    <t>Weighted Score</t>
  </si>
  <si>
    <t>Total</t>
  </si>
  <si>
    <t>Overall CSI Score</t>
  </si>
  <si>
    <t>Stability Status</t>
  </si>
  <si>
    <t>Today's Value</t>
  </si>
  <si>
    <t>Day Average-7</t>
  </si>
  <si>
    <t>% CV</t>
  </si>
  <si>
    <t>Stability Score</t>
  </si>
  <si>
    <t>Operator Interpretation</t>
  </si>
  <si>
    <t>Overall CRI Score</t>
  </si>
  <si>
    <t>Risk Level</t>
  </si>
  <si>
    <t>Operator Recommendation</t>
  </si>
  <si>
    <t>Risk Score</t>
  </si>
  <si>
    <t>Weighted Risk</t>
  </si>
  <si>
    <t>Alarm ID</t>
  </si>
  <si>
    <t>Current Value</t>
  </si>
  <si>
    <t>Alarm Level</t>
  </si>
  <si>
    <t>Total Alarms</t>
  </si>
  <si>
    <t>Critical Alarms</t>
  </si>
  <si>
    <t>Warning Alarms</t>
  </si>
  <si>
    <t>Overall Operator Score</t>
  </si>
  <si>
    <t>Performance Rating</t>
  </si>
  <si>
    <t>Supervisor Recommendation</t>
  </si>
  <si>
    <t>Indicator</t>
  </si>
  <si>
    <t>Clarifier Health Index (CHI)</t>
  </si>
  <si>
    <t>Clarifier Stability Index (CSI)</t>
  </si>
  <si>
    <t>Clarifier Risk Index (CRI)</t>
  </si>
  <si>
    <t>Alarm Management</t>
  </si>
  <si>
    <t>Laboratory</t>
  </si>
  <si>
    <t>Field Measurement</t>
  </si>
  <si>
    <t>Calculated</t>
  </si>
  <si>
    <t>SCADA / Flow Meter</t>
  </si>
  <si>
    <t>Effluent Quality</t>
  </si>
  <si>
    <t>Settling Performance</t>
  </si>
  <si>
    <t>Hydraulic Loading</t>
  </si>
  <si>
    <t>Solids Loading</t>
  </si>
  <si>
    <t>Sludge Recirculation</t>
  </si>
  <si>
    <t>Hydraulic Performance</t>
  </si>
  <si>
    <t>1:12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</si>
</sst>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4"/>
      <color theme="1"/>
      <name val="Arial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1"/>
      <name val="Arial"/>
      <family val="2"/>
      <scheme val="minor"/>
    </font>
    <font>
      <b/>
      <sz val="12"/>
      <name val="Arial"/>
      <family val="2"/>
    </font>
    <font>
      <b/>
      <sz val="14"/>
      <name val="Arial"/>
      <family val="2"/>
      <scheme val="minor"/>
    </font>
    <font>
      <sz val="11"/>
      <color theme="1"/>
      <name val="Arial"/>
    </font>
    <font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3" borderId="0" xfId="0" applyFill="1"/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1" fillId="0" borderId="1" xfId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/>
    <xf numFmtId="0" fontId="4" fillId="3" borderId="0" xfId="0" applyFont="1" applyFill="1" applyAlignment="1">
      <alignment horizontal="center"/>
    </xf>
    <xf numFmtId="14" fontId="1" fillId="3" borderId="1" xfId="1" applyNumberFormat="1" applyFont="1" applyFill="1" applyBorder="1" applyAlignment="1">
      <alignment horizontal="center" wrapText="1"/>
    </xf>
    <xf numFmtId="0" fontId="1" fillId="0" borderId="1" xfId="1" applyFont="1" applyFill="1" applyBorder="1" applyAlignment="1">
      <alignment horizontal="center" wrapText="1"/>
    </xf>
    <xf numFmtId="0" fontId="7" fillId="2" borderId="0" xfId="0" applyFont="1" applyFill="1"/>
    <xf numFmtId="0" fontId="5" fillId="2" borderId="0" xfId="0" applyFont="1" applyFill="1"/>
    <xf numFmtId="0" fontId="4" fillId="2" borderId="0" xfId="0" applyFont="1" applyFill="1"/>
    <xf numFmtId="0" fontId="8" fillId="0" borderId="0" xfId="0" applyFont="1" applyFill="1"/>
    <xf numFmtId="0" fontId="9" fillId="3" borderId="0" xfId="0" applyFont="1" applyFill="1"/>
    <xf numFmtId="0" fontId="10" fillId="0" borderId="0" xfId="0" applyFont="1"/>
    <xf numFmtId="0" fontId="10" fillId="0" borderId="0" xfId="0" applyFont="1" applyAlignment="1">
      <alignment horizontal="center"/>
    </xf>
    <xf numFmtId="0" fontId="9" fillId="2" borderId="0" xfId="0" applyFont="1" applyFill="1"/>
    <xf numFmtId="0" fontId="4" fillId="0" borderId="0" xfId="0" applyFont="1" applyFill="1"/>
    <xf numFmtId="0" fontId="8" fillId="2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center"/>
    </xf>
    <xf numFmtId="2" fontId="4" fillId="0" borderId="0" xfId="0" applyNumberFormat="1" applyFont="1"/>
    <xf numFmtId="2" fontId="0" fillId="0" borderId="0" xfId="0" quotePrefix="1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0" applyNumberFormat="1" applyFill="1" applyAlignment="1">
      <alignment horizontal="center"/>
    </xf>
    <xf numFmtId="0" fontId="11" fillId="3" borderId="0" xfId="0" applyFont="1" applyFill="1" applyAlignment="1">
      <alignment horizontal="center" vertical="top"/>
    </xf>
    <xf numFmtId="0" fontId="12" fillId="0" borderId="0" xfId="0" applyFont="1" applyAlignment="1">
      <alignment horizontal="center"/>
    </xf>
    <xf numFmtId="1" fontId="4" fillId="0" borderId="0" xfId="0" applyNumberFormat="1" applyFont="1"/>
    <xf numFmtId="2" fontId="4" fillId="0" borderId="0" xfId="0" applyNumberFormat="1" applyFont="1" applyFill="1" applyAlignment="1">
      <alignment horizontal="center"/>
    </xf>
    <xf numFmtId="0" fontId="6" fillId="0" borderId="1" xfId="1" applyFont="1" applyFill="1" applyBorder="1" applyAlignment="1">
      <alignment horizontal="center" vertical="center" wrapText="1"/>
    </xf>
    <xf numFmtId="0" fontId="12" fillId="0" borderId="0" xfId="0" applyFont="1" applyFill="1"/>
    <xf numFmtId="0" fontId="13" fillId="2" borderId="0" xfId="0" applyFont="1" applyFill="1" applyAlignment="1">
      <alignment horizontal="left" vertical="top"/>
    </xf>
    <xf numFmtId="164" fontId="1" fillId="0" borderId="1" xfId="1" applyNumberFormat="1" applyFont="1" applyFill="1" applyBorder="1" applyAlignment="1">
      <alignment horizontal="center" vertical="center" wrapText="1"/>
    </xf>
    <xf numFmtId="1" fontId="1" fillId="0" borderId="1" xfId="1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1" fontId="10" fillId="0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/>
    <xf numFmtId="0" fontId="15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5" fillId="4" borderId="0" xfId="0" applyFont="1" applyFill="1"/>
    <xf numFmtId="0" fontId="4" fillId="4" borderId="0" xfId="0" applyFont="1" applyFill="1" applyAlignment="1">
      <alignment horizontal="center"/>
    </xf>
    <xf numFmtId="0" fontId="4" fillId="5" borderId="0" xfId="0" applyFont="1" applyFill="1"/>
    <xf numFmtId="14" fontId="4" fillId="0" borderId="0" xfId="0" applyNumberFormat="1" applyFont="1"/>
    <xf numFmtId="0" fontId="9" fillId="0" borderId="0" xfId="0" applyFont="1" applyAlignment="1">
      <alignment horizontal="left"/>
    </xf>
    <xf numFmtId="0" fontId="4" fillId="4" borderId="0" xfId="0" applyFont="1" applyFill="1"/>
    <xf numFmtId="0" fontId="16" fillId="4" borderId="0" xfId="0" applyFont="1" applyFill="1"/>
    <xf numFmtId="0" fontId="4" fillId="3" borderId="0" xfId="0" applyFont="1" applyFill="1"/>
    <xf numFmtId="0" fontId="7" fillId="4" borderId="0" xfId="0" applyFont="1" applyFill="1"/>
    <xf numFmtId="0" fontId="9" fillId="3" borderId="0" xfId="0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10" fillId="0" borderId="0" xfId="0" applyFont="1" applyAlignment="1">
      <alignment horizontal="left"/>
    </xf>
    <xf numFmtId="20" fontId="10" fillId="0" borderId="0" xfId="0" quotePrefix="1" applyNumberFormat="1" applyFont="1" applyAlignment="1">
      <alignment horizontal="center"/>
    </xf>
    <xf numFmtId="0" fontId="6" fillId="0" borderId="0" xfId="0" applyFont="1"/>
    <xf numFmtId="14" fontId="6" fillId="0" borderId="0" xfId="0" applyNumberFormat="1" applyFont="1"/>
    <xf numFmtId="0" fontId="6" fillId="5" borderId="0" xfId="0" applyFont="1" applyFill="1"/>
    <xf numFmtId="2" fontId="6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0" fillId="6" borderId="0" xfId="0" applyFont="1" applyFill="1" applyAlignment="1">
      <alignment horizontal="center"/>
    </xf>
  </cellXfs>
  <cellStyles count="2">
    <cellStyle name="Normal" xfId="0" builtinId="0"/>
    <cellStyle name="Normal_ورقة1" xfId="1" xr:uid="{00000000-0005-0000-0000-000001000000}"/>
  </cellStyles>
  <dxfs count="96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scheme val="none"/>
      </font>
      <numFmt numFmtId="19" formatCode="m/d/yyyy"/>
      <fill>
        <patternFill patternType="solid">
          <fgColor indexed="64"/>
          <bgColor rgb="FF92D050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S366" totalsRowShown="0">
  <autoFilter ref="A1:S366" xr:uid="{00000000-0009-0000-0100-000003000000}"/>
  <tableColumns count="19">
    <tableColumn id="1" xr3:uid="{00000000-0010-0000-0000-000001000000}" name="Data" dataDxfId="95" dataCellStyle="Normal_ورقة1"/>
    <tableColumn id="2" xr3:uid="{00000000-0010-0000-0000-000002000000}" name="influent flow Q m3/d" dataDxfId="94"/>
    <tableColumn id="21" xr3:uid="{00000000-0010-0000-0000-000015000000}" name="% RAS" dataDxfId="93"/>
    <tableColumn id="3" xr3:uid="{00000000-0010-0000-0000-000003000000}" name="return activated sludge rate Qr m3/d" dataDxfId="92">
      <calculatedColumnFormula>(C2*B2)/100</calculatedColumnFormula>
    </tableColumn>
    <tableColumn id="22" xr3:uid="{00000000-0010-0000-0000-000016000000}" name="% WAS" dataDxfId="91"/>
    <tableColumn id="4" xr3:uid="{00000000-0010-0000-0000-000004000000}" name="Waste activated sludge rate  Qw m3/d" dataDxfId="90">
      <calculatedColumnFormula>(E2*B2)/100</calculatedColumnFormula>
    </tableColumn>
    <tableColumn id="5" xr3:uid="{00000000-0010-0000-0000-000005000000}" name="mixed liquor suspended solids MLSS (mg/L)" dataDxfId="89"/>
    <tableColumn id="6" xr3:uid="{00000000-0010-0000-0000-000006000000}" name="SV 30 (mL/L)" dataDxfId="88"/>
    <tableColumn id="7" xr3:uid="{00000000-0010-0000-0000-000007000000}" name="sludge volume index SVI (ml/g)" dataDxfId="87">
      <calculatedColumnFormula>(H2*1000)/G2</calculatedColumnFormula>
    </tableColumn>
    <tableColumn id="8" xr3:uid="{00000000-0010-0000-0000-000008000000}" name="Dissolved Oxygen  DO  mg/l  " dataDxfId="86"/>
    <tableColumn id="9" xr3:uid="{00000000-0010-0000-0000-000009000000}" name="temperature T " dataDxfId="85"/>
    <tableColumn id="10" xr3:uid="{00000000-0010-0000-0000-00000A000000}" name="sludge blanket m " dataDxfId="84"/>
    <tableColumn id="11" xr3:uid="{00000000-0010-0000-0000-00000B000000}" name=" total suspended solid TSS in  mg/l " dataDxfId="83"/>
    <tableColumn id="12" xr3:uid="{00000000-0010-0000-0000-00000C000000}" name="total suspended solid  TSS out  mg/l  " dataDxfId="82"/>
    <tableColumn id="13" xr3:uid="{00000000-0010-0000-0000-00000D000000}" name=" Chemical Oxygen Demand  COD in  mg/l " dataDxfId="81"/>
    <tableColumn id="14" xr3:uid="{00000000-0010-0000-0000-00000E000000}" name="Chemical Oxygen Demand  COD out  mg/l" dataDxfId="80"/>
    <tableColumn id="15" xr3:uid="{00000000-0010-0000-0000-00000F000000}" name=" Biochemical Oxygen Demand BOD in  mg/l" dataDxfId="79"/>
    <tableColumn id="16" xr3:uid="{00000000-0010-0000-0000-000010000000}" name="Biochemical Oxygen Demand  BOD out   mg/l" dataDxfId="78" dataCellStyle="Normal_ورقة1"/>
    <tableColumn id="17" xr3:uid="{00000000-0010-0000-0000-000011000000}" name="PH" dataDxfId="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Table7" displayName="Table7" ref="A1:F366" totalsRowShown="0" dataDxfId="76">
  <autoFilter ref="A1:F366" xr:uid="{00000000-0009-0000-0100-000007000000}"/>
  <tableColumns count="6">
    <tableColumn id="1" xr3:uid="{00000000-0010-0000-0100-000001000000}" name="Solid loding Rate SLR (Kg/m2*h)" dataDxfId="75">
      <calculatedColumnFormula>((('Raw data'!B2+'Raw data'!D2)/24)*('Raw data'!G2/1000))/'plant information'!$B$20</calculatedColumnFormula>
    </tableColumn>
    <tableColumn id="4" xr3:uid="{00000000-0010-0000-0100-000004000000}" name="Surface Overflow Rate SOR (m3/m2*d)" dataDxfId="74">
      <calculatedColumnFormula>'Raw data'!B2/'plant information'!$B$20</calculatedColumnFormula>
    </tableColumn>
    <tableColumn id="5" xr3:uid="{00000000-0010-0000-0100-000005000000}" name="hydraulic retention time HRT (h)" dataDxfId="73">
      <calculatedColumnFormula>('plant information'!$B$22/('Raw data'!B2+'Raw data'!D2))*24</calculatedColumnFormula>
    </tableColumn>
    <tableColumn id="6" xr3:uid="{00000000-0010-0000-0100-000006000000}" name=" % TSS removal" dataDxfId="72">
      <calculatedColumnFormula>('Raw data'!M2-'Raw data'!N2)*100/'Raw data'!M2</calculatedColumnFormula>
    </tableColumn>
    <tableColumn id="7" xr3:uid="{00000000-0010-0000-0100-000007000000}" name=" % COD removal" dataDxfId="71">
      <calculatedColumnFormula>('Raw data'!O2-'Raw data'!P2)*100/'Raw data'!O2</calculatedColumnFormula>
    </tableColumn>
    <tableColumn id="8" xr3:uid="{00000000-0010-0000-0100-000008000000}" name="% BOD removal" dataDxfId="70">
      <calculatedColumnFormula>('Raw data'!Q2-'Raw data'!R2)*100/'Raw data'!Q2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References" displayName="tblReferences" ref="A3:T10" totalsRowShown="0" headerRowDxfId="69" dataDxfId="68">
  <autoFilter ref="A3:T10" xr:uid="{00000000-0009-0000-0100-000001000000}"/>
  <tableColumns count="20">
    <tableColumn id="1" xr3:uid="{00000000-0010-0000-0200-000001000000}" name="No." dataDxfId="67"/>
    <tableColumn id="11" xr3:uid="{00000000-0010-0000-0200-00000B000000}" name="Category" dataDxfId="66"/>
    <tableColumn id="2" xr3:uid="{00000000-0010-0000-0200-000002000000}" name="Parameter" dataDxfId="65"/>
    <tableColumn id="3" xr3:uid="{00000000-0010-0000-0200-000003000000}" name="Symbol" dataDxfId="64"/>
    <tableColumn id="4" xr3:uid="{00000000-0010-0000-0200-000004000000}" name="Unit" dataDxfId="63"/>
    <tableColumn id="5" xr3:uid="{00000000-0010-0000-0200-000005000000}" name="Normal Range" dataDxfId="62"/>
    <tableColumn id="6" xr3:uid="{00000000-0010-0000-0200-000006000000}" name="Warning Range" dataDxfId="61"/>
    <tableColumn id="7" xr3:uid="{00000000-0010-0000-0200-000007000000}" name="Critical Range" dataDxfId="60"/>
    <tableColumn id="8" xr3:uid="{00000000-0010-0000-0200-000008000000}" name="Reference" dataDxfId="59"/>
    <tableColumn id="12" xr3:uid="{00000000-0010-0000-0200-00000C000000}" name="Lower Limit" dataDxfId="58"/>
    <tableColumn id="13" xr3:uid="{00000000-0010-0000-0200-00000D000000}" name="Upper Limit" dataDxfId="57"/>
    <tableColumn id="23" xr3:uid="{00000000-0010-0000-0200-000017000000}" name="Warning Lower" dataDxfId="56"/>
    <tableColumn id="22" xr3:uid="{00000000-0010-0000-0200-000016000000}" name="Warning Upper" dataDxfId="55"/>
    <tableColumn id="20" xr3:uid="{00000000-0010-0000-0200-000014000000}" name="Critical Lower" dataDxfId="54"/>
    <tableColumn id="18" xr3:uid="{00000000-0010-0000-0200-000012000000}" name="Critical Upper" dataDxfId="53"/>
    <tableColumn id="14" xr3:uid="{00000000-0010-0000-0200-00000E000000}" name="Direction" dataDxfId="52"/>
    <tableColumn id="15" xr3:uid="{00000000-0010-0000-0200-00000F000000}" name="Importance" dataDxfId="51"/>
    <tableColumn id="16" xr3:uid="{00000000-0010-0000-0200-000010000000}" name="Functional Area" dataDxfId="50"/>
    <tableColumn id="17" xr3:uid="{00000000-0010-0000-0200-000011000000}" name="Remarks" dataDxfId="49"/>
    <tableColumn id="21" xr3:uid="{00000000-0010-0000-0200-000015000000}" name="Data Source" dataDxfId="48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Diagnosis" displayName="tblDiagnosis" ref="A3:R10" totalsRowShown="0" headerRowDxfId="47" dataDxfId="46">
  <autoFilter ref="A3:R10" xr:uid="{00000000-0009-0000-0100-000002000000}"/>
  <tableColumns count="18">
    <tableColumn id="1" xr3:uid="{00000000-0010-0000-0300-000001000000}" name="Parameter" dataDxfId="45"/>
    <tableColumn id="2" xr3:uid="{00000000-0010-0000-0300-000002000000}" name="Actual Value" dataDxfId="44"/>
    <tableColumn id="3" xr3:uid="{00000000-0010-0000-0300-000003000000}" name="Unit" dataDxfId="43">
      <calculatedColumnFormula>INDEX(tblReferences[Unit],MATCH(A4,tblReferences[Parameter],0))</calculatedColumnFormula>
    </tableColumn>
    <tableColumn id="12" xr3:uid="{00000000-0010-0000-0300-00000C000000}" name="Normal Range" dataDxfId="42">
      <calculatedColumnFormula>INDEX(tblReferences[Normal Range],MATCH(A4,tblReferences[Parameter],0))</calculatedColumnFormula>
    </tableColumn>
    <tableColumn id="4" xr3:uid="{00000000-0010-0000-0300-000004000000}" name="Status" dataDxfId="41">
      <calculatedColumnFormula>IF(B4&lt;=M4,"Normal",
IF(B4&lt;=T4,"Warning",
"Critical"))</calculatedColumnFormula>
    </tableColumn>
    <tableColumn id="5" xr3:uid="{00000000-0010-0000-0300-000005000000}" name="Severity" dataDxfId="40">
      <calculatedColumnFormula>IF(E4="Critical","High",IF(E4="Warning","Medium","Low"))</calculatedColumnFormula>
    </tableColumn>
    <tableColumn id="6" xr3:uid="{00000000-0010-0000-0300-000006000000}" name="Possible Cause" dataDxfId="39">
      <calculatedColumnFormula>IF(B4&lt;N4,"Very short HRT / Hydraulic overloading",IF(B4&lt;L4,"Short HRT",IF(B4&lt;=M4,"Normal hydraulic retention time",IF(B4&lt;P4,"Extended HRT","Excessive HRT / Low hydraulic loading"))))</calculatedColumnFormula>
    </tableColumn>
    <tableColumn id="7" xr3:uid="{00000000-0010-0000-0300-000007000000}" name="Recommended Action" dataDxfId="38"/>
    <tableColumn id="8" xr3:uid="{00000000-0010-0000-0300-000008000000}" name="Functional Area" dataDxfId="37">
      <calculatedColumnFormula>IF(A4="Effluent Total Suspended Solids","Water Quality",IF(A4="Sludge Volume Index","Settling",IF(A4="Sludge Blanket Depth","Sludge Management",IF(A4="Surface Overflow Rate","Hydraulic",IF(A4="Solids Loading Rate","Solids Loading",IF(A4="Return Activated Sludge Ratio","Sludge Management",IF(A4="Hydraulic Retention Time","Hydraulic","Other")))))))</calculatedColumnFormula>
    </tableColumn>
    <tableColumn id="11" xr3:uid="{00000000-0010-0000-0300-00000B000000}" name="Priority" dataDxfId="36">
      <calculatedColumnFormula>IF(E4="Critical","High",IF(E4="Warning","Medium","Low"))</calculatedColumnFormula>
    </tableColumn>
    <tableColumn id="15" xr3:uid="{00000000-0010-0000-0300-00000F000000}" name="Last Updated" dataDxfId="35">
      <calculatedColumnFormula>TODAY()</calculatedColumnFormula>
    </tableColumn>
    <tableColumn id="14" xr3:uid="{00000000-0010-0000-0300-00000E000000}" name="Lower Limit" dataDxfId="34">
      <calculatedColumnFormula>INDEX(tblReferences[Lower Limit],MATCH(A4,tblReferences[Parameter],0))</calculatedColumnFormula>
    </tableColumn>
    <tableColumn id="13" xr3:uid="{00000000-0010-0000-0300-00000D000000}" name="Upper Limit" dataDxfId="33">
      <calculatedColumnFormula>INDEX(tblReferences[Upper Limit],MATCH(A4,tblReferences[Parameter],0))</calculatedColumnFormula>
    </tableColumn>
    <tableColumn id="18" xr3:uid="{00000000-0010-0000-0300-000012000000}" name="Warning Lower" dataDxfId="32">
      <calculatedColumnFormula>'Scientific References'!L4</calculatedColumnFormula>
    </tableColumn>
    <tableColumn id="17" xr3:uid="{00000000-0010-0000-0300-000011000000}" name="Warning Upper" dataDxfId="31">
      <calculatedColumnFormula>'Scientific References'!M4</calculatedColumnFormula>
    </tableColumn>
    <tableColumn id="16" xr3:uid="{00000000-0010-0000-0300-000010000000}" name="Critical Lower" dataDxfId="30">
      <calculatedColumnFormula>'Scientific References'!N4</calculatedColumnFormula>
    </tableColumn>
    <tableColumn id="10" xr3:uid="{00000000-0010-0000-0300-00000A000000}" name="Critical Upper" dataDxfId="29">
      <calculatedColumnFormula>'Scientific References'!O4</calculatedColumnFormula>
    </tableColumn>
    <tableColumn id="9" xr3:uid="{00000000-0010-0000-0300-000009000000}" name="Direction" dataDxfId="28">
      <calculatedColumnFormula>INDEX(tblReferences[Direction],MATCH(A4,tblReferences[Parameter],0))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3"/>
  <sheetViews>
    <sheetView tabSelected="1" zoomScale="85" zoomScaleNormal="85" workbookViewId="0">
      <pane xSplit="1" ySplit="1" topLeftCell="P94" activePane="bottomRight" state="frozen"/>
      <selection pane="topRight" activeCell="B1" sqref="B1"/>
      <selection pane="bottomLeft" activeCell="A2" sqref="A2"/>
      <selection pane="bottomRight" activeCell="S100" sqref="S100"/>
    </sheetView>
  </sheetViews>
  <sheetFormatPr defaultRowHeight="13.8" x14ac:dyDescent="0.25"/>
  <cols>
    <col min="1" max="1" width="13" style="4" customWidth="1"/>
    <col min="2" max="2" width="27.69921875" style="1" customWidth="1"/>
    <col min="3" max="3" width="13.09765625" style="1" customWidth="1"/>
    <col min="4" max="4" width="47.8984375" customWidth="1"/>
    <col min="5" max="5" width="16.296875" customWidth="1"/>
    <col min="6" max="6" width="49.69921875" customWidth="1"/>
    <col min="7" max="7" width="57.19921875" style="1" customWidth="1"/>
    <col min="8" max="8" width="18.69921875" style="1" customWidth="1"/>
    <col min="9" max="9" width="40.8984375" style="3" customWidth="1"/>
    <col min="10" max="10" width="39.09765625" style="1" customWidth="1"/>
    <col min="11" max="11" width="21.19921875" style="39" customWidth="1"/>
    <col min="12" max="12" width="24.69921875" style="1" customWidth="1"/>
    <col min="13" max="13" width="46.69921875" style="2" customWidth="1"/>
    <col min="14" max="14" width="41.296875" style="43" customWidth="1"/>
    <col min="15" max="15" width="54" style="2" customWidth="1"/>
    <col min="16" max="16" width="54.19921875" style="2" customWidth="1"/>
    <col min="17" max="17" width="56.09765625" style="2" customWidth="1"/>
    <col min="18" max="18" width="58.69921875" style="2" customWidth="1"/>
    <col min="19" max="19" width="8.19921875" customWidth="1"/>
  </cols>
  <sheetData>
    <row r="1" spans="1:20" ht="30" customHeight="1" x14ac:dyDescent="0.25">
      <c r="A1" s="16" t="s">
        <v>0</v>
      </c>
      <c r="B1" s="9" t="s">
        <v>2</v>
      </c>
      <c r="C1" s="10" t="s">
        <v>161</v>
      </c>
      <c r="D1" s="10" t="s">
        <v>44</v>
      </c>
      <c r="E1" s="9" t="s">
        <v>162</v>
      </c>
      <c r="F1" s="9" t="s">
        <v>45</v>
      </c>
      <c r="G1" s="10" t="s">
        <v>13</v>
      </c>
      <c r="H1" s="11" t="s">
        <v>72</v>
      </c>
      <c r="I1" s="10" t="s">
        <v>12</v>
      </c>
      <c r="J1" s="9" t="s">
        <v>9</v>
      </c>
      <c r="K1" s="38" t="s">
        <v>11</v>
      </c>
      <c r="L1" s="9" t="s">
        <v>10</v>
      </c>
      <c r="M1" s="12" t="s">
        <v>3</v>
      </c>
      <c r="N1" s="44" t="s">
        <v>4</v>
      </c>
      <c r="O1" s="10" t="s">
        <v>5</v>
      </c>
      <c r="P1" s="50" t="s">
        <v>6</v>
      </c>
      <c r="Q1" s="10" t="s">
        <v>7</v>
      </c>
      <c r="R1" s="9" t="s">
        <v>8</v>
      </c>
      <c r="S1" s="12" t="s">
        <v>1</v>
      </c>
      <c r="T1" s="2"/>
    </row>
    <row r="2" spans="1:20" x14ac:dyDescent="0.25">
      <c r="A2" s="17">
        <v>45658</v>
      </c>
      <c r="B2" s="13">
        <v>11273</v>
      </c>
      <c r="C2" s="13">
        <v>60</v>
      </c>
      <c r="D2" s="79">
        <f t="shared" ref="D2:D65" si="0">(C2*B2)/100</f>
        <v>6763.8</v>
      </c>
      <c r="E2" s="13">
        <v>3.5</v>
      </c>
      <c r="F2" s="79">
        <f t="shared" ref="F2:F65" si="1">(E2*B2)/100</f>
        <v>394.55500000000001</v>
      </c>
      <c r="G2" s="13">
        <v>1815</v>
      </c>
      <c r="H2" s="13">
        <v>174</v>
      </c>
      <c r="I2" s="41">
        <f>(H2*1000)/G2</f>
        <v>95.867768595041326</v>
      </c>
      <c r="J2" s="14">
        <v>2.8</v>
      </c>
      <c r="K2" s="35">
        <v>18.899999999999999</v>
      </c>
      <c r="L2" s="13">
        <v>0.67</v>
      </c>
      <c r="M2" s="8">
        <v>140</v>
      </c>
      <c r="N2" s="42">
        <v>11</v>
      </c>
      <c r="O2" s="18">
        <v>350</v>
      </c>
      <c r="P2" s="45">
        <v>34.299999999999997</v>
      </c>
      <c r="Q2" s="8">
        <v>250</v>
      </c>
      <c r="R2" s="8">
        <v>10</v>
      </c>
      <c r="S2" s="18">
        <v>7.2</v>
      </c>
    </row>
    <row r="3" spans="1:20" x14ac:dyDescent="0.25">
      <c r="A3" s="17">
        <v>45659</v>
      </c>
      <c r="B3" s="13">
        <v>11273</v>
      </c>
      <c r="C3" s="13">
        <v>60</v>
      </c>
      <c r="D3" s="79">
        <f t="shared" si="0"/>
        <v>6763.8</v>
      </c>
      <c r="E3" s="13">
        <v>3.5</v>
      </c>
      <c r="F3" s="79">
        <f t="shared" si="1"/>
        <v>394.55500000000001</v>
      </c>
      <c r="G3" s="13">
        <v>1830</v>
      </c>
      <c r="H3" s="13">
        <v>179</v>
      </c>
      <c r="I3" s="41">
        <f t="shared" ref="I3:I66" si="2">(H3*1000)/G3</f>
        <v>97.814207650273218</v>
      </c>
      <c r="J3" s="14">
        <v>2.5</v>
      </c>
      <c r="K3" s="35">
        <v>19.2</v>
      </c>
      <c r="L3" s="13">
        <v>0.28999999999999998</v>
      </c>
      <c r="M3" s="8">
        <v>130</v>
      </c>
      <c r="N3" s="42">
        <v>10</v>
      </c>
      <c r="O3" s="18">
        <v>432</v>
      </c>
      <c r="P3" s="46">
        <v>27</v>
      </c>
      <c r="Q3" s="8">
        <v>248</v>
      </c>
      <c r="R3" s="8">
        <v>7.8</v>
      </c>
      <c r="S3" s="18">
        <v>7.15</v>
      </c>
    </row>
    <row r="4" spans="1:20" x14ac:dyDescent="0.25">
      <c r="A4" s="17">
        <v>45660</v>
      </c>
      <c r="B4" s="13">
        <v>11298</v>
      </c>
      <c r="C4" s="13">
        <v>60</v>
      </c>
      <c r="D4" s="79">
        <f t="shared" si="0"/>
        <v>6778.8</v>
      </c>
      <c r="E4" s="13">
        <v>3.5</v>
      </c>
      <c r="F4" s="79">
        <f t="shared" si="1"/>
        <v>395.43</v>
      </c>
      <c r="G4" s="13">
        <v>1829</v>
      </c>
      <c r="H4" s="13">
        <v>161</v>
      </c>
      <c r="I4" s="41">
        <f t="shared" si="2"/>
        <v>88.026243849097867</v>
      </c>
      <c r="J4" s="14">
        <v>2.94</v>
      </c>
      <c r="K4" s="35">
        <v>18.5</v>
      </c>
      <c r="L4" s="13">
        <v>0.44</v>
      </c>
      <c r="M4" s="8">
        <v>134</v>
      </c>
      <c r="N4" s="42">
        <v>7.3</v>
      </c>
      <c r="O4" s="18">
        <v>400</v>
      </c>
      <c r="P4" s="45">
        <v>28.5</v>
      </c>
      <c r="Q4" s="8">
        <v>253</v>
      </c>
      <c r="R4" s="8">
        <v>6</v>
      </c>
      <c r="S4" s="18">
        <v>7.24</v>
      </c>
    </row>
    <row r="5" spans="1:20" x14ac:dyDescent="0.25">
      <c r="A5" s="17">
        <v>45661</v>
      </c>
      <c r="B5" s="13">
        <v>11312</v>
      </c>
      <c r="C5" s="13">
        <v>60</v>
      </c>
      <c r="D5" s="79">
        <f t="shared" si="0"/>
        <v>6787.2</v>
      </c>
      <c r="E5" s="13">
        <v>3.4</v>
      </c>
      <c r="F5" s="79">
        <f t="shared" si="1"/>
        <v>384.60799999999995</v>
      </c>
      <c r="G5" s="13">
        <v>1819</v>
      </c>
      <c r="H5" s="13">
        <v>183</v>
      </c>
      <c r="I5" s="41">
        <f t="shared" si="2"/>
        <v>100.60472787245739</v>
      </c>
      <c r="J5" s="14">
        <v>3.1</v>
      </c>
      <c r="K5" s="35">
        <v>19</v>
      </c>
      <c r="L5" s="13">
        <v>0.41</v>
      </c>
      <c r="M5" s="8">
        <v>150</v>
      </c>
      <c r="N5" s="42">
        <v>13.5</v>
      </c>
      <c r="O5" s="18">
        <v>500</v>
      </c>
      <c r="P5" s="46">
        <v>42</v>
      </c>
      <c r="Q5" s="8">
        <v>251</v>
      </c>
      <c r="R5" s="8">
        <v>10</v>
      </c>
      <c r="S5" s="18">
        <v>7.21</v>
      </c>
    </row>
    <row r="6" spans="1:20" x14ac:dyDescent="0.25">
      <c r="A6" s="17">
        <v>45662</v>
      </c>
      <c r="B6" s="13">
        <v>11286</v>
      </c>
      <c r="C6" s="13">
        <v>60</v>
      </c>
      <c r="D6" s="79">
        <f t="shared" si="0"/>
        <v>6771.6</v>
      </c>
      <c r="E6" s="13">
        <v>3.4</v>
      </c>
      <c r="F6" s="79">
        <f t="shared" si="1"/>
        <v>383.72399999999999</v>
      </c>
      <c r="G6" s="13">
        <v>1814</v>
      </c>
      <c r="H6" s="13">
        <v>190</v>
      </c>
      <c r="I6" s="41">
        <f t="shared" si="2"/>
        <v>104.74090407938257</v>
      </c>
      <c r="J6" s="14">
        <v>1.2</v>
      </c>
      <c r="K6" s="35">
        <v>17</v>
      </c>
      <c r="L6" s="13">
        <v>0.73</v>
      </c>
      <c r="M6" s="8">
        <v>155</v>
      </c>
      <c r="N6" s="42">
        <v>14</v>
      </c>
      <c r="O6" s="18">
        <v>341</v>
      </c>
      <c r="P6" s="46">
        <v>32</v>
      </c>
      <c r="Q6" s="8">
        <v>246</v>
      </c>
      <c r="R6" s="8">
        <v>9.5</v>
      </c>
      <c r="S6" s="18">
        <v>7.2</v>
      </c>
    </row>
    <row r="7" spans="1:20" x14ac:dyDescent="0.25">
      <c r="A7" s="17">
        <v>45663</v>
      </c>
      <c r="B7" s="13">
        <v>11294</v>
      </c>
      <c r="C7" s="13">
        <v>60</v>
      </c>
      <c r="D7" s="79">
        <f t="shared" si="0"/>
        <v>6776.4</v>
      </c>
      <c r="E7" s="13">
        <v>3.6</v>
      </c>
      <c r="F7" s="79">
        <f t="shared" si="1"/>
        <v>406.584</v>
      </c>
      <c r="G7" s="13">
        <v>1833</v>
      </c>
      <c r="H7" s="13">
        <v>159</v>
      </c>
      <c r="I7" s="41">
        <f t="shared" si="2"/>
        <v>86.743044189852696</v>
      </c>
      <c r="J7" s="14">
        <v>3.2</v>
      </c>
      <c r="K7" s="35">
        <v>19.3</v>
      </c>
      <c r="L7" s="13">
        <v>0.7</v>
      </c>
      <c r="M7" s="8">
        <v>160</v>
      </c>
      <c r="N7" s="42">
        <v>7</v>
      </c>
      <c r="O7" s="18">
        <v>432</v>
      </c>
      <c r="P7" s="46">
        <v>21</v>
      </c>
      <c r="Q7" s="8">
        <v>150</v>
      </c>
      <c r="R7" s="8">
        <v>6</v>
      </c>
      <c r="S7" s="18">
        <v>7.25</v>
      </c>
    </row>
    <row r="8" spans="1:20" x14ac:dyDescent="0.25">
      <c r="A8" s="17">
        <v>45664</v>
      </c>
      <c r="B8" s="13">
        <v>11385</v>
      </c>
      <c r="C8" s="13">
        <v>60</v>
      </c>
      <c r="D8" s="79">
        <f t="shared" si="0"/>
        <v>6831</v>
      </c>
      <c r="E8" s="13">
        <v>3.3</v>
      </c>
      <c r="F8" s="79">
        <f t="shared" si="1"/>
        <v>375.70499999999998</v>
      </c>
      <c r="G8" s="13">
        <v>1827</v>
      </c>
      <c r="H8" s="13">
        <v>177</v>
      </c>
      <c r="I8" s="41">
        <f t="shared" si="2"/>
        <v>96.880131362889983</v>
      </c>
      <c r="J8" s="14">
        <v>2.9</v>
      </c>
      <c r="K8" s="35">
        <v>18.600000000000001</v>
      </c>
      <c r="L8" s="13">
        <v>0.83</v>
      </c>
      <c r="M8" s="8">
        <v>118</v>
      </c>
      <c r="N8" s="42">
        <v>10</v>
      </c>
      <c r="O8" s="18">
        <v>400</v>
      </c>
      <c r="P8" s="45">
        <v>31.6</v>
      </c>
      <c r="Q8" s="8">
        <v>249</v>
      </c>
      <c r="R8" s="8">
        <v>8.6999999999999993</v>
      </c>
      <c r="S8" s="18">
        <v>7.19</v>
      </c>
    </row>
    <row r="9" spans="1:20" x14ac:dyDescent="0.25">
      <c r="A9" s="17">
        <v>45665</v>
      </c>
      <c r="B9" s="13">
        <v>11410</v>
      </c>
      <c r="C9" s="13">
        <v>60</v>
      </c>
      <c r="D9" s="79">
        <f t="shared" si="0"/>
        <v>6846</v>
      </c>
      <c r="E9" s="13">
        <v>3.5</v>
      </c>
      <c r="F9" s="79">
        <f t="shared" si="1"/>
        <v>399.35</v>
      </c>
      <c r="G9" s="13">
        <v>1837</v>
      </c>
      <c r="H9" s="13">
        <v>188</v>
      </c>
      <c r="I9" s="41">
        <f t="shared" si="2"/>
        <v>102.34077299945564</v>
      </c>
      <c r="J9" s="14">
        <v>6</v>
      </c>
      <c r="K9" s="35">
        <v>19</v>
      </c>
      <c r="L9" s="13">
        <v>0.32</v>
      </c>
      <c r="M9" s="8">
        <v>144</v>
      </c>
      <c r="N9" s="42">
        <v>13</v>
      </c>
      <c r="O9" s="18">
        <v>500</v>
      </c>
      <c r="P9" s="45">
        <v>36.1</v>
      </c>
      <c r="Q9" s="8">
        <v>252</v>
      </c>
      <c r="R9" s="8">
        <v>10</v>
      </c>
      <c r="S9" s="18">
        <v>7.22</v>
      </c>
    </row>
    <row r="10" spans="1:20" x14ac:dyDescent="0.25">
      <c r="A10" s="17">
        <v>45666</v>
      </c>
      <c r="B10" s="13">
        <v>11686</v>
      </c>
      <c r="C10" s="13">
        <v>60</v>
      </c>
      <c r="D10" s="79">
        <f t="shared" si="0"/>
        <v>7011.6</v>
      </c>
      <c r="E10" s="13">
        <v>3.6</v>
      </c>
      <c r="F10" s="79">
        <f t="shared" si="1"/>
        <v>420.69599999999997</v>
      </c>
      <c r="G10" s="13">
        <v>1833</v>
      </c>
      <c r="H10" s="13">
        <v>189</v>
      </c>
      <c r="I10" s="41">
        <f t="shared" si="2"/>
        <v>103.10965630114566</v>
      </c>
      <c r="J10" s="14">
        <v>3</v>
      </c>
      <c r="K10" s="35">
        <v>16</v>
      </c>
      <c r="L10" s="13">
        <v>0.54</v>
      </c>
      <c r="M10" s="8">
        <v>154</v>
      </c>
      <c r="N10" s="42">
        <v>13.5</v>
      </c>
      <c r="O10" s="18">
        <v>520</v>
      </c>
      <c r="P10" s="46">
        <v>38</v>
      </c>
      <c r="Q10" s="8">
        <v>300</v>
      </c>
      <c r="R10" s="8">
        <v>10.3</v>
      </c>
      <c r="S10" s="18">
        <v>7.2</v>
      </c>
    </row>
    <row r="11" spans="1:20" x14ac:dyDescent="0.25">
      <c r="A11" s="17">
        <v>45667</v>
      </c>
      <c r="B11" s="13">
        <v>11606</v>
      </c>
      <c r="C11" s="13">
        <v>60</v>
      </c>
      <c r="D11" s="79">
        <f t="shared" si="0"/>
        <v>6963.6</v>
      </c>
      <c r="E11" s="13">
        <v>3.6</v>
      </c>
      <c r="F11" s="79">
        <f t="shared" si="1"/>
        <v>417.81599999999997</v>
      </c>
      <c r="G11" s="13">
        <v>1837</v>
      </c>
      <c r="H11" s="13">
        <v>166</v>
      </c>
      <c r="I11" s="41">
        <f t="shared" si="2"/>
        <v>90.364725095264021</v>
      </c>
      <c r="J11" s="14">
        <v>2.7</v>
      </c>
      <c r="K11" s="35">
        <v>19</v>
      </c>
      <c r="L11" s="13">
        <v>0.28999999999999998</v>
      </c>
      <c r="M11" s="8">
        <v>170</v>
      </c>
      <c r="N11" s="42">
        <v>9</v>
      </c>
      <c r="O11" s="18">
        <v>540</v>
      </c>
      <c r="P11" s="46">
        <v>26</v>
      </c>
      <c r="Q11" s="8">
        <v>250</v>
      </c>
      <c r="R11" s="8">
        <v>8</v>
      </c>
      <c r="S11" s="18">
        <v>7.23</v>
      </c>
    </row>
    <row r="12" spans="1:20" x14ac:dyDescent="0.25">
      <c r="A12" s="17">
        <v>45668</v>
      </c>
      <c r="B12" s="13">
        <v>11598</v>
      </c>
      <c r="C12" s="13">
        <v>60</v>
      </c>
      <c r="D12" s="79">
        <f t="shared" si="0"/>
        <v>6958.8</v>
      </c>
      <c r="E12" s="13">
        <v>3.4</v>
      </c>
      <c r="F12" s="79">
        <f t="shared" si="1"/>
        <v>394.33199999999999</v>
      </c>
      <c r="G12" s="13">
        <v>1842</v>
      </c>
      <c r="H12" s="13">
        <v>167</v>
      </c>
      <c r="I12" s="41">
        <f t="shared" si="2"/>
        <v>90.662323561346369</v>
      </c>
      <c r="J12" s="14">
        <v>3.15</v>
      </c>
      <c r="K12" s="35">
        <v>18</v>
      </c>
      <c r="L12" s="13">
        <v>0.41</v>
      </c>
      <c r="M12" s="8">
        <v>135</v>
      </c>
      <c r="N12" s="42">
        <v>7.6</v>
      </c>
      <c r="O12" s="18">
        <v>440</v>
      </c>
      <c r="P12" s="46">
        <v>30</v>
      </c>
      <c r="Q12" s="8">
        <v>168</v>
      </c>
      <c r="R12" s="8">
        <v>7</v>
      </c>
      <c r="S12" s="18">
        <v>7.2</v>
      </c>
    </row>
    <row r="13" spans="1:20" x14ac:dyDescent="0.25">
      <c r="A13" s="17">
        <v>45669</v>
      </c>
      <c r="B13" s="13">
        <v>11599</v>
      </c>
      <c r="C13" s="13">
        <v>60</v>
      </c>
      <c r="D13" s="79">
        <f t="shared" si="0"/>
        <v>6959.4</v>
      </c>
      <c r="E13" s="13">
        <v>3.3</v>
      </c>
      <c r="F13" s="79">
        <f t="shared" si="1"/>
        <v>382.767</v>
      </c>
      <c r="G13" s="13">
        <v>1812</v>
      </c>
      <c r="H13" s="13">
        <v>171</v>
      </c>
      <c r="I13" s="41">
        <f t="shared" si="2"/>
        <v>94.370860927152322</v>
      </c>
      <c r="J13" s="14">
        <v>2.6</v>
      </c>
      <c r="K13" s="35">
        <v>19</v>
      </c>
      <c r="L13" s="13">
        <v>0.59</v>
      </c>
      <c r="M13" s="8">
        <v>121</v>
      </c>
      <c r="N13" s="42">
        <v>8.9</v>
      </c>
      <c r="O13" s="18">
        <v>400</v>
      </c>
      <c r="P13" s="46">
        <v>32</v>
      </c>
      <c r="Q13" s="8">
        <v>245</v>
      </c>
      <c r="R13" s="8">
        <v>7.6</v>
      </c>
      <c r="S13" s="18">
        <v>7.16</v>
      </c>
    </row>
    <row r="14" spans="1:20" x14ac:dyDescent="0.25">
      <c r="A14" s="17">
        <v>45670</v>
      </c>
      <c r="B14" s="13">
        <v>11731</v>
      </c>
      <c r="C14" s="13">
        <v>60</v>
      </c>
      <c r="D14" s="79">
        <f t="shared" si="0"/>
        <v>7038.6</v>
      </c>
      <c r="E14" s="13">
        <v>3.5</v>
      </c>
      <c r="F14" s="79">
        <f t="shared" si="1"/>
        <v>410.58499999999998</v>
      </c>
      <c r="G14" s="13">
        <v>1843</v>
      </c>
      <c r="H14" s="13">
        <v>168</v>
      </c>
      <c r="I14" s="41">
        <f t="shared" si="2"/>
        <v>91.155724362452517</v>
      </c>
      <c r="J14" s="14">
        <v>2.9</v>
      </c>
      <c r="K14" s="35">
        <v>18.7</v>
      </c>
      <c r="L14" s="13">
        <v>0.28999999999999998</v>
      </c>
      <c r="M14" s="8">
        <v>167</v>
      </c>
      <c r="N14" s="42">
        <v>8.6999999999999993</v>
      </c>
      <c r="O14" s="18">
        <v>430</v>
      </c>
      <c r="P14" s="45">
        <v>28.8</v>
      </c>
      <c r="Q14" s="8">
        <v>140</v>
      </c>
      <c r="R14" s="8">
        <v>6</v>
      </c>
      <c r="S14" s="18">
        <v>7.24</v>
      </c>
    </row>
    <row r="15" spans="1:20" x14ac:dyDescent="0.25">
      <c r="A15" s="17">
        <v>45671</v>
      </c>
      <c r="B15" s="13">
        <v>11683</v>
      </c>
      <c r="C15" s="13">
        <v>60</v>
      </c>
      <c r="D15" s="79">
        <f t="shared" si="0"/>
        <v>7009.8</v>
      </c>
      <c r="E15" s="13">
        <v>3.5</v>
      </c>
      <c r="F15" s="79">
        <f t="shared" si="1"/>
        <v>408.90499999999997</v>
      </c>
      <c r="G15" s="13">
        <v>1820</v>
      </c>
      <c r="H15" s="13">
        <v>191</v>
      </c>
      <c r="I15" s="41">
        <f t="shared" si="2"/>
        <v>104.94505494505495</v>
      </c>
      <c r="J15" s="14">
        <v>2.4</v>
      </c>
      <c r="K15" s="35">
        <v>19.3</v>
      </c>
      <c r="L15" s="13">
        <v>0.4</v>
      </c>
      <c r="M15" s="8">
        <v>160</v>
      </c>
      <c r="N15" s="42">
        <v>13.5</v>
      </c>
      <c r="O15" s="18">
        <v>350</v>
      </c>
      <c r="P15" s="45">
        <v>42.2</v>
      </c>
      <c r="Q15" s="8">
        <v>248</v>
      </c>
      <c r="R15" s="8">
        <v>10.199999999999999</v>
      </c>
      <c r="S15" s="18">
        <v>7.19</v>
      </c>
    </row>
    <row r="16" spans="1:20" x14ac:dyDescent="0.25">
      <c r="A16" s="17">
        <v>45672</v>
      </c>
      <c r="B16" s="13">
        <v>11856</v>
      </c>
      <c r="C16" s="13">
        <v>60</v>
      </c>
      <c r="D16" s="79">
        <f t="shared" si="0"/>
        <v>7113.6</v>
      </c>
      <c r="E16" s="13">
        <v>3.5</v>
      </c>
      <c r="F16" s="79">
        <f t="shared" si="1"/>
        <v>414.96</v>
      </c>
      <c r="G16" s="13">
        <v>1805</v>
      </c>
      <c r="H16" s="13">
        <v>182</v>
      </c>
      <c r="I16" s="41">
        <f t="shared" si="2"/>
        <v>100.83102493074792</v>
      </c>
      <c r="J16" s="14">
        <v>6</v>
      </c>
      <c r="K16" s="35">
        <v>18</v>
      </c>
      <c r="L16" s="13">
        <v>0.68</v>
      </c>
      <c r="M16" s="8">
        <v>164</v>
      </c>
      <c r="N16" s="42">
        <v>13</v>
      </c>
      <c r="O16" s="18">
        <v>460</v>
      </c>
      <c r="P16" s="45">
        <v>39</v>
      </c>
      <c r="Q16" s="8">
        <v>310</v>
      </c>
      <c r="R16" s="8">
        <v>10</v>
      </c>
      <c r="S16" s="18">
        <v>7.22</v>
      </c>
    </row>
    <row r="17" spans="1:19" x14ac:dyDescent="0.25">
      <c r="A17" s="17">
        <v>45673</v>
      </c>
      <c r="B17" s="13">
        <v>11808</v>
      </c>
      <c r="C17" s="13">
        <v>60</v>
      </c>
      <c r="D17" s="79">
        <f t="shared" si="0"/>
        <v>7084.8</v>
      </c>
      <c r="E17" s="13">
        <v>3.4</v>
      </c>
      <c r="F17" s="79">
        <f t="shared" si="1"/>
        <v>401.47199999999998</v>
      </c>
      <c r="G17" s="13">
        <v>1805</v>
      </c>
      <c r="H17" s="13">
        <v>171</v>
      </c>
      <c r="I17" s="41">
        <f t="shared" si="2"/>
        <v>94.736842105263165</v>
      </c>
      <c r="J17" s="14">
        <v>2.8</v>
      </c>
      <c r="K17" s="35">
        <v>17</v>
      </c>
      <c r="L17" s="13">
        <v>0.61</v>
      </c>
      <c r="M17" s="8">
        <v>137</v>
      </c>
      <c r="N17" s="42">
        <v>9</v>
      </c>
      <c r="O17" s="18">
        <v>490</v>
      </c>
      <c r="P17" s="45">
        <v>26.1</v>
      </c>
      <c r="Q17" s="8">
        <v>246</v>
      </c>
      <c r="R17" s="8">
        <v>8</v>
      </c>
      <c r="S17" s="18">
        <v>7.2</v>
      </c>
    </row>
    <row r="18" spans="1:19" x14ac:dyDescent="0.25">
      <c r="A18" s="17">
        <v>45674</v>
      </c>
      <c r="B18" s="13">
        <v>11848</v>
      </c>
      <c r="C18" s="13">
        <v>60</v>
      </c>
      <c r="D18" s="79">
        <f t="shared" si="0"/>
        <v>7108.8</v>
      </c>
      <c r="E18" s="13">
        <v>3.4</v>
      </c>
      <c r="F18" s="79">
        <f t="shared" si="1"/>
        <v>402.83199999999999</v>
      </c>
      <c r="G18" s="13">
        <v>1810</v>
      </c>
      <c r="H18" s="13">
        <v>187</v>
      </c>
      <c r="I18" s="41">
        <f t="shared" si="2"/>
        <v>103.31491712707182</v>
      </c>
      <c r="J18" s="14">
        <v>3</v>
      </c>
      <c r="K18" s="35">
        <v>18</v>
      </c>
      <c r="L18" s="13">
        <v>0.41</v>
      </c>
      <c r="M18" s="8">
        <v>168</v>
      </c>
      <c r="N18" s="42">
        <v>15</v>
      </c>
      <c r="O18" s="18">
        <v>500</v>
      </c>
      <c r="P18" s="46">
        <v>43</v>
      </c>
      <c r="Q18" s="8">
        <v>254</v>
      </c>
      <c r="R18" s="8">
        <v>9.8000000000000007</v>
      </c>
      <c r="S18" s="18">
        <v>7.23</v>
      </c>
    </row>
    <row r="19" spans="1:19" x14ac:dyDescent="0.25">
      <c r="A19" s="17">
        <v>45675</v>
      </c>
      <c r="B19" s="13">
        <v>11869</v>
      </c>
      <c r="C19" s="13">
        <v>58</v>
      </c>
      <c r="D19" s="79">
        <f t="shared" si="0"/>
        <v>6884.02</v>
      </c>
      <c r="E19" s="13">
        <v>3.6</v>
      </c>
      <c r="F19" s="79">
        <f t="shared" si="1"/>
        <v>427.28399999999999</v>
      </c>
      <c r="G19" s="13">
        <v>1839</v>
      </c>
      <c r="H19" s="13">
        <v>176</v>
      </c>
      <c r="I19" s="41">
        <f t="shared" si="2"/>
        <v>95.704187058183791</v>
      </c>
      <c r="J19" s="14">
        <v>2.5</v>
      </c>
      <c r="K19" s="35">
        <v>16</v>
      </c>
      <c r="L19" s="13">
        <v>0.64</v>
      </c>
      <c r="M19" s="8">
        <v>132</v>
      </c>
      <c r="N19" s="42">
        <v>11</v>
      </c>
      <c r="O19" s="18">
        <v>430</v>
      </c>
      <c r="P19" s="46">
        <v>30</v>
      </c>
      <c r="Q19" s="8">
        <v>300</v>
      </c>
      <c r="R19" s="8">
        <v>8.4</v>
      </c>
      <c r="S19" s="18">
        <v>7.7</v>
      </c>
    </row>
    <row r="20" spans="1:19" x14ac:dyDescent="0.25">
      <c r="A20" s="17">
        <v>45676</v>
      </c>
      <c r="B20" s="13">
        <v>11858</v>
      </c>
      <c r="C20" s="13">
        <v>58</v>
      </c>
      <c r="D20" s="79">
        <f t="shared" si="0"/>
        <v>6877.64</v>
      </c>
      <c r="E20" s="13">
        <v>3.6</v>
      </c>
      <c r="F20" s="79">
        <f t="shared" si="1"/>
        <v>426.88800000000003</v>
      </c>
      <c r="G20" s="13">
        <v>1815</v>
      </c>
      <c r="H20" s="13">
        <v>183</v>
      </c>
      <c r="I20" s="41">
        <f t="shared" si="2"/>
        <v>100.82644628099173</v>
      </c>
      <c r="J20" s="14">
        <v>2.9</v>
      </c>
      <c r="K20" s="35">
        <v>18</v>
      </c>
      <c r="L20" s="13">
        <v>0.78</v>
      </c>
      <c r="M20" s="8">
        <v>131</v>
      </c>
      <c r="N20" s="42">
        <v>13</v>
      </c>
      <c r="O20" s="18">
        <v>500</v>
      </c>
      <c r="P20" s="46">
        <v>40</v>
      </c>
      <c r="Q20" s="8">
        <v>247</v>
      </c>
      <c r="R20" s="8">
        <v>8</v>
      </c>
      <c r="S20" s="18">
        <v>7.65</v>
      </c>
    </row>
    <row r="21" spans="1:19" x14ac:dyDescent="0.25">
      <c r="A21" s="17">
        <v>45677</v>
      </c>
      <c r="B21" s="13">
        <v>11844</v>
      </c>
      <c r="C21" s="13">
        <v>58</v>
      </c>
      <c r="D21" s="79">
        <f t="shared" si="0"/>
        <v>6869.52</v>
      </c>
      <c r="E21" s="13">
        <v>3.4</v>
      </c>
      <c r="F21" s="79">
        <f t="shared" si="1"/>
        <v>402.69599999999997</v>
      </c>
      <c r="G21" s="13">
        <v>1811</v>
      </c>
      <c r="H21" s="13">
        <v>156</v>
      </c>
      <c r="I21" s="41">
        <f t="shared" si="2"/>
        <v>86.140254003313089</v>
      </c>
      <c r="J21" s="14">
        <v>2.2999999999999998</v>
      </c>
      <c r="K21" s="35">
        <v>18.3</v>
      </c>
      <c r="L21" s="13">
        <v>0.27</v>
      </c>
      <c r="M21" s="8">
        <v>120</v>
      </c>
      <c r="N21" s="42">
        <v>6.5</v>
      </c>
      <c r="O21" s="18">
        <v>400</v>
      </c>
      <c r="P21" s="46">
        <v>24</v>
      </c>
      <c r="Q21" s="8">
        <v>253</v>
      </c>
      <c r="R21" s="8">
        <v>6.2</v>
      </c>
      <c r="S21" s="18">
        <v>7.74</v>
      </c>
    </row>
    <row r="22" spans="1:19" x14ac:dyDescent="0.25">
      <c r="A22" s="17">
        <v>45678</v>
      </c>
      <c r="B22" s="13">
        <v>11791</v>
      </c>
      <c r="C22" s="13">
        <v>58</v>
      </c>
      <c r="D22" s="79">
        <f t="shared" si="0"/>
        <v>6838.78</v>
      </c>
      <c r="E22" s="13">
        <v>3.3</v>
      </c>
      <c r="F22" s="79">
        <f t="shared" si="1"/>
        <v>389.10299999999995</v>
      </c>
      <c r="G22" s="13">
        <v>1840</v>
      </c>
      <c r="H22" s="13">
        <v>190</v>
      </c>
      <c r="I22" s="41">
        <f t="shared" si="2"/>
        <v>103.26086956521739</v>
      </c>
      <c r="J22" s="14">
        <v>2.15</v>
      </c>
      <c r="K22" s="35">
        <v>17.5</v>
      </c>
      <c r="L22" s="13">
        <v>0.78</v>
      </c>
      <c r="M22" s="8">
        <v>122</v>
      </c>
      <c r="N22" s="42">
        <v>12</v>
      </c>
      <c r="O22" s="18">
        <v>533</v>
      </c>
      <c r="P22" s="45">
        <v>34.5</v>
      </c>
      <c r="Q22" s="8">
        <v>300</v>
      </c>
      <c r="R22" s="8">
        <v>8</v>
      </c>
      <c r="S22" s="18">
        <v>7.7</v>
      </c>
    </row>
    <row r="23" spans="1:19" x14ac:dyDescent="0.25">
      <c r="A23" s="17">
        <v>45679</v>
      </c>
      <c r="B23" s="13">
        <v>11770</v>
      </c>
      <c r="C23" s="13">
        <v>58</v>
      </c>
      <c r="D23" s="79">
        <f t="shared" si="0"/>
        <v>6826.6</v>
      </c>
      <c r="E23" s="13">
        <v>3.5</v>
      </c>
      <c r="F23" s="79">
        <f t="shared" si="1"/>
        <v>411.95</v>
      </c>
      <c r="G23" s="13">
        <v>1826</v>
      </c>
      <c r="H23" s="13">
        <v>193</v>
      </c>
      <c r="I23" s="41">
        <f t="shared" si="2"/>
        <v>105.69550930996714</v>
      </c>
      <c r="J23" s="13">
        <v>2.42</v>
      </c>
      <c r="K23" s="36">
        <v>18</v>
      </c>
      <c r="L23" s="13">
        <v>0.71</v>
      </c>
      <c r="M23" s="14">
        <v>125.5</v>
      </c>
      <c r="N23" s="35">
        <v>12.5</v>
      </c>
      <c r="O23" s="14">
        <v>530</v>
      </c>
      <c r="P23" s="47">
        <v>34</v>
      </c>
      <c r="Q23" s="14">
        <v>260</v>
      </c>
      <c r="R23" s="8">
        <v>9.9</v>
      </c>
      <c r="S23" s="13">
        <v>7.72</v>
      </c>
    </row>
    <row r="24" spans="1:19" x14ac:dyDescent="0.25">
      <c r="A24" s="17">
        <v>45680</v>
      </c>
      <c r="B24" s="13">
        <v>11822</v>
      </c>
      <c r="C24" s="13">
        <v>58</v>
      </c>
      <c r="D24" s="79">
        <f t="shared" si="0"/>
        <v>6856.76</v>
      </c>
      <c r="E24" s="13">
        <v>3.4</v>
      </c>
      <c r="F24" s="79">
        <f t="shared" si="1"/>
        <v>401.94799999999998</v>
      </c>
      <c r="G24" s="13">
        <v>1814</v>
      </c>
      <c r="H24" s="13">
        <v>167</v>
      </c>
      <c r="I24" s="41">
        <f t="shared" si="2"/>
        <v>92.061742006615219</v>
      </c>
      <c r="J24" s="13">
        <v>2.2999999999999998</v>
      </c>
      <c r="K24" s="36">
        <v>18</v>
      </c>
      <c r="L24" s="13">
        <v>0.48</v>
      </c>
      <c r="M24" s="14">
        <v>160</v>
      </c>
      <c r="N24" s="35">
        <v>7.1</v>
      </c>
      <c r="O24" s="14">
        <v>530</v>
      </c>
      <c r="P24" s="47">
        <v>30</v>
      </c>
      <c r="Q24" s="14">
        <v>252</v>
      </c>
      <c r="R24" s="8">
        <v>6.8</v>
      </c>
      <c r="S24" s="13">
        <v>7.66</v>
      </c>
    </row>
    <row r="25" spans="1:19" x14ac:dyDescent="0.25">
      <c r="A25" s="17">
        <v>45681</v>
      </c>
      <c r="B25" s="13">
        <v>11780</v>
      </c>
      <c r="C25" s="13">
        <v>58</v>
      </c>
      <c r="D25" s="79">
        <f t="shared" si="0"/>
        <v>6832.4</v>
      </c>
      <c r="E25" s="13">
        <v>3.4</v>
      </c>
      <c r="F25" s="79">
        <f t="shared" si="1"/>
        <v>400.52</v>
      </c>
      <c r="G25" s="13">
        <v>1836</v>
      </c>
      <c r="H25" s="13">
        <v>183</v>
      </c>
      <c r="I25" s="41">
        <f t="shared" si="2"/>
        <v>99.673202614379079</v>
      </c>
      <c r="J25" s="13">
        <v>1</v>
      </c>
      <c r="K25" s="36">
        <v>18</v>
      </c>
      <c r="L25" s="13">
        <v>0.37</v>
      </c>
      <c r="M25" s="14">
        <v>125</v>
      </c>
      <c r="N25" s="35">
        <v>10</v>
      </c>
      <c r="O25" s="14">
        <v>490</v>
      </c>
      <c r="P25" s="47">
        <v>31</v>
      </c>
      <c r="Q25" s="14">
        <v>246</v>
      </c>
      <c r="R25" s="8">
        <v>6.7</v>
      </c>
      <c r="S25" s="13">
        <v>7.75</v>
      </c>
    </row>
    <row r="26" spans="1:19" x14ac:dyDescent="0.25">
      <c r="A26" s="17">
        <v>45682</v>
      </c>
      <c r="B26" s="13">
        <v>11797</v>
      </c>
      <c r="C26" s="13">
        <v>58</v>
      </c>
      <c r="D26" s="79">
        <f t="shared" si="0"/>
        <v>6842.26</v>
      </c>
      <c r="E26" s="13">
        <v>3.6</v>
      </c>
      <c r="F26" s="79">
        <f t="shared" si="1"/>
        <v>424.69200000000006</v>
      </c>
      <c r="G26" s="13">
        <v>1809</v>
      </c>
      <c r="H26" s="13">
        <v>159</v>
      </c>
      <c r="I26" s="41">
        <f t="shared" si="2"/>
        <v>87.893864013266992</v>
      </c>
      <c r="J26" s="13">
        <v>2.2000000000000002</v>
      </c>
      <c r="K26" s="36">
        <v>16</v>
      </c>
      <c r="L26" s="13">
        <v>0.87</v>
      </c>
      <c r="M26" s="14">
        <v>124</v>
      </c>
      <c r="N26" s="35">
        <v>7</v>
      </c>
      <c r="O26" s="14">
        <v>500</v>
      </c>
      <c r="P26" s="48">
        <v>23.6</v>
      </c>
      <c r="Q26" s="14">
        <v>100</v>
      </c>
      <c r="R26" s="8">
        <v>6.4</v>
      </c>
      <c r="S26" s="13">
        <v>7.69</v>
      </c>
    </row>
    <row r="27" spans="1:19" x14ac:dyDescent="0.25">
      <c r="A27" s="17">
        <v>45683</v>
      </c>
      <c r="B27" s="13">
        <v>11823</v>
      </c>
      <c r="C27" s="13">
        <v>58</v>
      </c>
      <c r="D27" s="79">
        <f t="shared" si="0"/>
        <v>6857.34</v>
      </c>
      <c r="E27" s="13">
        <v>3.3</v>
      </c>
      <c r="F27" s="79">
        <f t="shared" si="1"/>
        <v>390.15899999999999</v>
      </c>
      <c r="G27" s="13">
        <v>1836</v>
      </c>
      <c r="H27" s="13">
        <v>174</v>
      </c>
      <c r="I27" s="41">
        <f t="shared" si="2"/>
        <v>94.771241830065364</v>
      </c>
      <c r="J27" s="13">
        <v>2.4500000000000002</v>
      </c>
      <c r="K27" s="36">
        <v>17</v>
      </c>
      <c r="L27" s="13">
        <v>0.48</v>
      </c>
      <c r="M27" s="14">
        <v>118</v>
      </c>
      <c r="N27" s="35">
        <v>9</v>
      </c>
      <c r="O27" s="14">
        <v>540</v>
      </c>
      <c r="P27" s="48">
        <v>27.9</v>
      </c>
      <c r="Q27" s="14">
        <v>152</v>
      </c>
      <c r="R27" s="8">
        <v>7</v>
      </c>
      <c r="S27" s="13">
        <v>7.7</v>
      </c>
    </row>
    <row r="28" spans="1:19" x14ac:dyDescent="0.25">
      <c r="A28" s="17">
        <v>45684</v>
      </c>
      <c r="B28" s="13">
        <v>11924</v>
      </c>
      <c r="C28" s="13">
        <v>58</v>
      </c>
      <c r="D28" s="79">
        <f t="shared" si="0"/>
        <v>6915.92</v>
      </c>
      <c r="E28" s="13">
        <v>3.5</v>
      </c>
      <c r="F28" s="79">
        <f t="shared" si="1"/>
        <v>417.34</v>
      </c>
      <c r="G28" s="13">
        <v>1816</v>
      </c>
      <c r="H28" s="13">
        <v>170</v>
      </c>
      <c r="I28" s="41">
        <f t="shared" si="2"/>
        <v>93.612334801762117</v>
      </c>
      <c r="J28" s="13">
        <v>2.2999999999999998</v>
      </c>
      <c r="K28" s="36">
        <v>19</v>
      </c>
      <c r="L28" s="13">
        <v>0.33</v>
      </c>
      <c r="M28" s="14">
        <v>127</v>
      </c>
      <c r="N28" s="35">
        <v>9</v>
      </c>
      <c r="O28" s="14">
        <v>455</v>
      </c>
      <c r="P28" s="47">
        <v>31</v>
      </c>
      <c r="Q28" s="14">
        <v>249</v>
      </c>
      <c r="R28" s="8">
        <v>7.6</v>
      </c>
      <c r="S28" s="13">
        <v>7.67</v>
      </c>
    </row>
    <row r="29" spans="1:19" x14ac:dyDescent="0.25">
      <c r="A29" s="17">
        <v>45685</v>
      </c>
      <c r="B29" s="13">
        <v>11919</v>
      </c>
      <c r="C29" s="13">
        <v>58</v>
      </c>
      <c r="D29" s="79">
        <f t="shared" si="0"/>
        <v>6913.02</v>
      </c>
      <c r="E29" s="13">
        <v>3.6</v>
      </c>
      <c r="F29" s="79">
        <f t="shared" si="1"/>
        <v>429.084</v>
      </c>
      <c r="G29" s="13">
        <v>1836</v>
      </c>
      <c r="H29" s="13">
        <v>186</v>
      </c>
      <c r="I29" s="41">
        <f>(H29*1000)/G29</f>
        <v>101.30718954248366</v>
      </c>
      <c r="J29" s="13">
        <v>7</v>
      </c>
      <c r="K29" s="36">
        <v>18.399999999999999</v>
      </c>
      <c r="L29" s="13">
        <v>0.33</v>
      </c>
      <c r="M29" s="14">
        <v>160</v>
      </c>
      <c r="N29" s="35">
        <v>12</v>
      </c>
      <c r="O29" s="14">
        <v>460</v>
      </c>
      <c r="P29" s="47">
        <v>36</v>
      </c>
      <c r="Q29" s="14">
        <v>251</v>
      </c>
      <c r="R29" s="8">
        <v>8.6999999999999993</v>
      </c>
      <c r="S29" s="13">
        <v>7.73</v>
      </c>
    </row>
    <row r="30" spans="1:19" x14ac:dyDescent="0.25">
      <c r="A30" s="17">
        <v>45686</v>
      </c>
      <c r="B30" s="13">
        <v>11923</v>
      </c>
      <c r="C30" s="13">
        <v>58</v>
      </c>
      <c r="D30" s="79">
        <f t="shared" si="0"/>
        <v>6915.34</v>
      </c>
      <c r="E30" s="13">
        <v>3.6</v>
      </c>
      <c r="F30" s="79">
        <f t="shared" si="1"/>
        <v>429.22800000000001</v>
      </c>
      <c r="G30" s="13">
        <v>1830</v>
      </c>
      <c r="H30" s="13">
        <v>166</v>
      </c>
      <c r="I30" s="41">
        <f t="shared" si="2"/>
        <v>90.710382513661202</v>
      </c>
      <c r="J30" s="13">
        <v>2.2000000000000002</v>
      </c>
      <c r="K30" s="36">
        <v>18</v>
      </c>
      <c r="L30" s="13">
        <v>0.8</v>
      </c>
      <c r="M30" s="14">
        <v>165</v>
      </c>
      <c r="N30" s="35">
        <v>9</v>
      </c>
      <c r="O30" s="14">
        <v>432</v>
      </c>
      <c r="P30" s="48">
        <v>30.7</v>
      </c>
      <c r="Q30" s="14">
        <v>247</v>
      </c>
      <c r="R30" s="8">
        <v>7</v>
      </c>
      <c r="S30" s="13">
        <v>7.7</v>
      </c>
    </row>
    <row r="31" spans="1:19" x14ac:dyDescent="0.25">
      <c r="A31" s="17">
        <v>45687</v>
      </c>
      <c r="B31" s="13">
        <v>12045</v>
      </c>
      <c r="C31" s="13">
        <v>58</v>
      </c>
      <c r="D31" s="79">
        <f t="shared" si="0"/>
        <v>6986.1</v>
      </c>
      <c r="E31" s="13">
        <v>3.4</v>
      </c>
      <c r="F31" s="79">
        <f t="shared" si="1"/>
        <v>409.53</v>
      </c>
      <c r="G31" s="13">
        <v>1831</v>
      </c>
      <c r="H31" s="13">
        <v>179</v>
      </c>
      <c r="I31" s="41">
        <f t="shared" si="2"/>
        <v>97.760786455488798</v>
      </c>
      <c r="J31" s="13">
        <v>2.4</v>
      </c>
      <c r="K31" s="36">
        <v>18.600000000000001</v>
      </c>
      <c r="L31" s="13">
        <v>0.65</v>
      </c>
      <c r="M31" s="14">
        <v>120</v>
      </c>
      <c r="N31" s="35">
        <v>9</v>
      </c>
      <c r="O31" s="14">
        <v>550</v>
      </c>
      <c r="P31" s="47">
        <v>31</v>
      </c>
      <c r="Q31" s="14">
        <v>253</v>
      </c>
      <c r="R31" s="8">
        <v>6.8</v>
      </c>
      <c r="S31" s="13">
        <v>7.74</v>
      </c>
    </row>
    <row r="32" spans="1:19" x14ac:dyDescent="0.25">
      <c r="A32" s="17">
        <v>45688</v>
      </c>
      <c r="B32" s="13">
        <v>10625</v>
      </c>
      <c r="C32" s="13">
        <v>58</v>
      </c>
      <c r="D32" s="79">
        <f t="shared" si="0"/>
        <v>6162.5</v>
      </c>
      <c r="E32" s="13">
        <v>3.4</v>
      </c>
      <c r="F32" s="79">
        <f t="shared" si="1"/>
        <v>361.25</v>
      </c>
      <c r="G32" s="13">
        <v>1781</v>
      </c>
      <c r="H32" s="13">
        <v>193</v>
      </c>
      <c r="I32" s="41">
        <f t="shared" si="2"/>
        <v>108.36608646827625</v>
      </c>
      <c r="J32" s="13">
        <v>2.35</v>
      </c>
      <c r="K32" s="36">
        <v>17</v>
      </c>
      <c r="L32" s="13">
        <v>0.78</v>
      </c>
      <c r="M32" s="14">
        <v>130</v>
      </c>
      <c r="N32" s="35">
        <v>12</v>
      </c>
      <c r="O32" s="14">
        <v>500</v>
      </c>
      <c r="P32" s="48">
        <v>42.9</v>
      </c>
      <c r="Q32" s="14">
        <v>248</v>
      </c>
      <c r="R32" s="8">
        <v>9</v>
      </c>
      <c r="S32" s="13">
        <v>7.69</v>
      </c>
    </row>
    <row r="33" spans="1:19" x14ac:dyDescent="0.25">
      <c r="A33" s="17">
        <v>45689</v>
      </c>
      <c r="B33" s="13">
        <v>9750</v>
      </c>
      <c r="C33" s="13">
        <v>58</v>
      </c>
      <c r="D33" s="79">
        <f t="shared" si="0"/>
        <v>5655</v>
      </c>
      <c r="E33" s="13">
        <v>3.4</v>
      </c>
      <c r="F33" s="79">
        <f t="shared" si="1"/>
        <v>331.5</v>
      </c>
      <c r="G33" s="13">
        <v>1774</v>
      </c>
      <c r="H33" s="13">
        <v>176</v>
      </c>
      <c r="I33" s="41">
        <f t="shared" si="2"/>
        <v>99.210822998872601</v>
      </c>
      <c r="J33" s="13">
        <v>2.2000000000000002</v>
      </c>
      <c r="K33" s="36">
        <v>17</v>
      </c>
      <c r="L33" s="13">
        <v>0.73</v>
      </c>
      <c r="M33" s="14">
        <v>125</v>
      </c>
      <c r="N33" s="35">
        <v>12</v>
      </c>
      <c r="O33" s="14">
        <v>500</v>
      </c>
      <c r="P33" s="48">
        <v>33.700000000000003</v>
      </c>
      <c r="Q33" s="14">
        <v>252</v>
      </c>
      <c r="R33" s="8">
        <v>9</v>
      </c>
      <c r="S33" s="13">
        <v>7.72</v>
      </c>
    </row>
    <row r="34" spans="1:19" x14ac:dyDescent="0.25">
      <c r="A34" s="17">
        <v>45690</v>
      </c>
      <c r="B34" s="13">
        <v>15041</v>
      </c>
      <c r="C34" s="13">
        <v>58</v>
      </c>
      <c r="D34" s="79">
        <f t="shared" si="0"/>
        <v>8723.7800000000007</v>
      </c>
      <c r="E34" s="13">
        <v>3.6</v>
      </c>
      <c r="F34" s="79">
        <f t="shared" si="1"/>
        <v>541.476</v>
      </c>
      <c r="G34" s="13">
        <v>1806</v>
      </c>
      <c r="H34" s="13">
        <v>189</v>
      </c>
      <c r="I34" s="41">
        <f t="shared" si="2"/>
        <v>104.65116279069767</v>
      </c>
      <c r="J34" s="13">
        <v>2.48</v>
      </c>
      <c r="K34" s="36">
        <v>17.5</v>
      </c>
      <c r="L34" s="13">
        <v>0.61</v>
      </c>
      <c r="M34" s="14">
        <v>158</v>
      </c>
      <c r="N34" s="35">
        <v>14</v>
      </c>
      <c r="O34" s="14">
        <v>523</v>
      </c>
      <c r="P34" s="47">
        <v>37</v>
      </c>
      <c r="Q34" s="14">
        <v>246</v>
      </c>
      <c r="R34" s="8">
        <v>10</v>
      </c>
      <c r="S34" s="13">
        <v>7.7</v>
      </c>
    </row>
    <row r="35" spans="1:19" x14ac:dyDescent="0.25">
      <c r="A35" s="17">
        <v>45691</v>
      </c>
      <c r="B35" s="13">
        <v>15084</v>
      </c>
      <c r="C35" s="13">
        <v>58</v>
      </c>
      <c r="D35" s="79">
        <f t="shared" si="0"/>
        <v>8748.7199999999993</v>
      </c>
      <c r="E35" s="13">
        <v>3.3</v>
      </c>
      <c r="F35" s="79">
        <f t="shared" si="1"/>
        <v>497.77199999999999</v>
      </c>
      <c r="G35" s="13">
        <v>1800</v>
      </c>
      <c r="H35" s="13">
        <v>171</v>
      </c>
      <c r="I35" s="41">
        <f t="shared" si="2"/>
        <v>95</v>
      </c>
      <c r="J35" s="13">
        <v>2.2999999999999998</v>
      </c>
      <c r="K35" s="36">
        <v>18</v>
      </c>
      <c r="L35" s="13">
        <v>0.88</v>
      </c>
      <c r="M35" s="14">
        <v>128</v>
      </c>
      <c r="N35" s="35">
        <v>9</v>
      </c>
      <c r="O35" s="14">
        <v>470</v>
      </c>
      <c r="P35" s="48">
        <v>26.3</v>
      </c>
      <c r="Q35" s="14">
        <v>110</v>
      </c>
      <c r="R35" s="8">
        <v>6.7</v>
      </c>
      <c r="S35" s="13">
        <v>7.75</v>
      </c>
    </row>
    <row r="36" spans="1:19" x14ac:dyDescent="0.25">
      <c r="A36" s="17">
        <v>45692</v>
      </c>
      <c r="B36" s="13">
        <v>15122</v>
      </c>
      <c r="C36" s="13">
        <v>58</v>
      </c>
      <c r="D36" s="79">
        <f t="shared" si="0"/>
        <v>8770.76</v>
      </c>
      <c r="E36" s="13">
        <v>3.5</v>
      </c>
      <c r="F36" s="79">
        <f t="shared" si="1"/>
        <v>529.27</v>
      </c>
      <c r="G36" s="13">
        <v>1784</v>
      </c>
      <c r="H36" s="13">
        <v>194</v>
      </c>
      <c r="I36" s="41">
        <f t="shared" si="2"/>
        <v>108.74439461883408</v>
      </c>
      <c r="J36" s="13">
        <v>2.5</v>
      </c>
      <c r="K36" s="36">
        <v>18.5</v>
      </c>
      <c r="L36" s="13">
        <v>0.51</v>
      </c>
      <c r="M36" s="14">
        <v>138</v>
      </c>
      <c r="N36" s="35">
        <v>13</v>
      </c>
      <c r="O36" s="14">
        <v>370</v>
      </c>
      <c r="P36" s="47">
        <v>39</v>
      </c>
      <c r="Q36" s="14">
        <v>249</v>
      </c>
      <c r="R36" s="8">
        <v>9.4</v>
      </c>
      <c r="S36" s="13">
        <v>7.5</v>
      </c>
    </row>
    <row r="37" spans="1:19" x14ac:dyDescent="0.25">
      <c r="A37" s="17">
        <v>45693</v>
      </c>
      <c r="B37" s="13">
        <v>15665</v>
      </c>
      <c r="C37" s="13">
        <v>58</v>
      </c>
      <c r="D37" s="79">
        <f t="shared" si="0"/>
        <v>9085.7000000000007</v>
      </c>
      <c r="E37" s="13">
        <v>3.6</v>
      </c>
      <c r="F37" s="79">
        <f t="shared" si="1"/>
        <v>563.94000000000005</v>
      </c>
      <c r="G37" s="13">
        <v>1796</v>
      </c>
      <c r="H37" s="13">
        <v>187</v>
      </c>
      <c r="I37" s="41">
        <f t="shared" si="2"/>
        <v>104.12026726057907</v>
      </c>
      <c r="J37" s="13">
        <v>7</v>
      </c>
      <c r="K37" s="36">
        <v>18</v>
      </c>
      <c r="L37" s="13">
        <v>0.62</v>
      </c>
      <c r="M37" s="14">
        <v>133</v>
      </c>
      <c r="N37" s="35">
        <v>12</v>
      </c>
      <c r="O37" s="14">
        <v>470</v>
      </c>
      <c r="P37" s="48">
        <v>39.200000000000003</v>
      </c>
      <c r="Q37" s="14">
        <v>254</v>
      </c>
      <c r="R37" s="8">
        <v>10</v>
      </c>
      <c r="S37" s="13">
        <v>7.45</v>
      </c>
    </row>
    <row r="38" spans="1:19" x14ac:dyDescent="0.25">
      <c r="A38" s="17">
        <v>45694</v>
      </c>
      <c r="B38" s="13">
        <v>15710</v>
      </c>
      <c r="C38" s="13">
        <v>58</v>
      </c>
      <c r="D38" s="79">
        <f t="shared" si="0"/>
        <v>9111.7999999999993</v>
      </c>
      <c r="E38" s="13">
        <v>3.6</v>
      </c>
      <c r="F38" s="79">
        <f t="shared" si="1"/>
        <v>565.55999999999995</v>
      </c>
      <c r="G38" s="13">
        <v>1805</v>
      </c>
      <c r="H38" s="13">
        <v>197</v>
      </c>
      <c r="I38" s="41">
        <f t="shared" si="2"/>
        <v>109.14127423822714</v>
      </c>
      <c r="J38" s="13">
        <v>2.4</v>
      </c>
      <c r="K38" s="36">
        <v>17</v>
      </c>
      <c r="L38" s="13">
        <v>0.79</v>
      </c>
      <c r="M38" s="14">
        <v>180</v>
      </c>
      <c r="N38" s="35">
        <v>13.4</v>
      </c>
      <c r="O38" s="14">
        <v>520</v>
      </c>
      <c r="P38" s="48">
        <v>37.6</v>
      </c>
      <c r="Q38" s="14">
        <v>247</v>
      </c>
      <c r="R38" s="8">
        <v>9</v>
      </c>
      <c r="S38" s="13">
        <v>7.52</v>
      </c>
    </row>
    <row r="39" spans="1:19" x14ac:dyDescent="0.25">
      <c r="A39" s="17">
        <v>45695</v>
      </c>
      <c r="B39" s="13">
        <v>16287</v>
      </c>
      <c r="C39" s="13">
        <v>58</v>
      </c>
      <c r="D39" s="79">
        <f t="shared" si="0"/>
        <v>9446.4599999999991</v>
      </c>
      <c r="E39" s="13">
        <v>3.4</v>
      </c>
      <c r="F39" s="79">
        <f t="shared" si="1"/>
        <v>553.75799999999992</v>
      </c>
      <c r="G39" s="13">
        <v>1791</v>
      </c>
      <c r="H39" s="13">
        <v>199</v>
      </c>
      <c r="I39" s="41">
        <f t="shared" si="2"/>
        <v>111.11111111111111</v>
      </c>
      <c r="J39" s="13">
        <v>2.2999999999999998</v>
      </c>
      <c r="K39" s="36">
        <v>19</v>
      </c>
      <c r="L39" s="13">
        <v>0.66</v>
      </c>
      <c r="M39" s="14">
        <v>200</v>
      </c>
      <c r="N39" s="35">
        <v>16</v>
      </c>
      <c r="O39" s="14">
        <v>556</v>
      </c>
      <c r="P39" s="48">
        <v>40.200000000000003</v>
      </c>
      <c r="Q39" s="14">
        <v>250</v>
      </c>
      <c r="R39" s="8">
        <v>10.3</v>
      </c>
      <c r="S39" s="13">
        <v>7.46</v>
      </c>
    </row>
    <row r="40" spans="1:19" x14ac:dyDescent="0.25">
      <c r="A40" s="17">
        <v>45696</v>
      </c>
      <c r="B40" s="13">
        <v>16372</v>
      </c>
      <c r="C40" s="13">
        <v>58</v>
      </c>
      <c r="D40" s="79">
        <f t="shared" si="0"/>
        <v>9495.76</v>
      </c>
      <c r="E40" s="13">
        <v>3.6</v>
      </c>
      <c r="F40" s="79">
        <f t="shared" si="1"/>
        <v>589.39200000000005</v>
      </c>
      <c r="G40" s="13">
        <v>1779</v>
      </c>
      <c r="H40" s="13">
        <v>184</v>
      </c>
      <c r="I40" s="41">
        <f t="shared" si="2"/>
        <v>103.42889263631254</v>
      </c>
      <c r="J40" s="13">
        <v>2.4500000000000002</v>
      </c>
      <c r="K40" s="36">
        <v>18</v>
      </c>
      <c r="L40" s="13">
        <v>0.81</v>
      </c>
      <c r="M40" s="14">
        <v>180</v>
      </c>
      <c r="N40" s="35">
        <v>13.2</v>
      </c>
      <c r="O40" s="14">
        <v>530</v>
      </c>
      <c r="P40" s="48">
        <v>34.6</v>
      </c>
      <c r="Q40" s="14">
        <v>253</v>
      </c>
      <c r="R40" s="8">
        <v>9.4</v>
      </c>
      <c r="S40" s="13">
        <v>7.5</v>
      </c>
    </row>
    <row r="41" spans="1:19" x14ac:dyDescent="0.25">
      <c r="A41" s="17">
        <v>45697</v>
      </c>
      <c r="B41" s="13">
        <v>16641</v>
      </c>
      <c r="C41" s="13">
        <v>58</v>
      </c>
      <c r="D41" s="79">
        <f t="shared" si="0"/>
        <v>9651.7800000000007</v>
      </c>
      <c r="E41" s="13">
        <v>3.3</v>
      </c>
      <c r="F41" s="79">
        <f t="shared" si="1"/>
        <v>549.15299999999991</v>
      </c>
      <c r="G41" s="13">
        <v>1786</v>
      </c>
      <c r="H41" s="13">
        <v>180</v>
      </c>
      <c r="I41" s="41">
        <f t="shared" si="2"/>
        <v>100.78387458006719</v>
      </c>
      <c r="J41" s="13">
        <v>2.9</v>
      </c>
      <c r="K41" s="36">
        <v>16</v>
      </c>
      <c r="L41" s="13">
        <v>0.63</v>
      </c>
      <c r="M41" s="14">
        <v>176</v>
      </c>
      <c r="N41" s="35">
        <v>12</v>
      </c>
      <c r="O41" s="14">
        <v>470</v>
      </c>
      <c r="P41" s="47">
        <v>38</v>
      </c>
      <c r="Q41" s="14">
        <v>245</v>
      </c>
      <c r="R41" s="8">
        <v>9.5</v>
      </c>
      <c r="S41" s="13">
        <v>7.44</v>
      </c>
    </row>
    <row r="42" spans="1:19" x14ac:dyDescent="0.25">
      <c r="A42" s="17">
        <v>45698</v>
      </c>
      <c r="B42" s="13">
        <v>16675</v>
      </c>
      <c r="C42" s="13">
        <v>58</v>
      </c>
      <c r="D42" s="79">
        <f t="shared" si="0"/>
        <v>9671.5</v>
      </c>
      <c r="E42" s="13">
        <v>3.5</v>
      </c>
      <c r="F42" s="79">
        <f t="shared" si="1"/>
        <v>583.625</v>
      </c>
      <c r="G42" s="13">
        <v>1783</v>
      </c>
      <c r="H42" s="13">
        <v>180</v>
      </c>
      <c r="I42" s="41">
        <f t="shared" si="2"/>
        <v>100.95344924284913</v>
      </c>
      <c r="J42" s="13">
        <v>3.15</v>
      </c>
      <c r="K42" s="36">
        <v>17</v>
      </c>
      <c r="L42" s="13">
        <v>0.71</v>
      </c>
      <c r="M42" s="14">
        <v>170</v>
      </c>
      <c r="N42" s="35">
        <v>12</v>
      </c>
      <c r="O42" s="14">
        <v>450</v>
      </c>
      <c r="P42" s="48">
        <v>37.799999999999997</v>
      </c>
      <c r="Q42" s="14">
        <v>251</v>
      </c>
      <c r="R42" s="8">
        <v>8.6</v>
      </c>
      <c r="S42" s="13">
        <v>7.51</v>
      </c>
    </row>
    <row r="43" spans="1:19" x14ac:dyDescent="0.25">
      <c r="A43" s="17">
        <v>45699</v>
      </c>
      <c r="B43" s="13">
        <v>16406</v>
      </c>
      <c r="C43" s="13">
        <v>58</v>
      </c>
      <c r="D43" s="79">
        <f t="shared" si="0"/>
        <v>9515.48</v>
      </c>
      <c r="E43" s="13">
        <v>3.6</v>
      </c>
      <c r="F43" s="79">
        <f t="shared" si="1"/>
        <v>590.61599999999999</v>
      </c>
      <c r="G43" s="13">
        <v>1800</v>
      </c>
      <c r="H43" s="13">
        <v>163</v>
      </c>
      <c r="I43" s="41">
        <f t="shared" si="2"/>
        <v>90.555555555555557</v>
      </c>
      <c r="J43" s="13">
        <v>2.72</v>
      </c>
      <c r="K43" s="36">
        <v>16</v>
      </c>
      <c r="L43" s="13">
        <v>0.3</v>
      </c>
      <c r="M43" s="14">
        <v>155</v>
      </c>
      <c r="N43" s="35">
        <v>9.1999999999999993</v>
      </c>
      <c r="O43" s="14">
        <v>480</v>
      </c>
      <c r="P43" s="47">
        <v>32</v>
      </c>
      <c r="Q43" s="14">
        <v>248</v>
      </c>
      <c r="R43" s="8">
        <v>7.2</v>
      </c>
      <c r="S43" s="13">
        <v>7.47</v>
      </c>
    </row>
    <row r="44" spans="1:19" x14ac:dyDescent="0.25">
      <c r="A44" s="17">
        <v>45700</v>
      </c>
      <c r="B44" s="13">
        <v>16462</v>
      </c>
      <c r="C44" s="13">
        <v>58</v>
      </c>
      <c r="D44" s="79">
        <f t="shared" si="0"/>
        <v>9547.9599999999991</v>
      </c>
      <c r="E44" s="13">
        <v>3.6</v>
      </c>
      <c r="F44" s="79">
        <f t="shared" si="1"/>
        <v>592.63200000000006</v>
      </c>
      <c r="G44" s="13">
        <v>1770</v>
      </c>
      <c r="H44" s="13">
        <v>164</v>
      </c>
      <c r="I44" s="41">
        <f t="shared" si="2"/>
        <v>92.655367231638422</v>
      </c>
      <c r="J44" s="13">
        <v>3</v>
      </c>
      <c r="K44" s="36">
        <v>17</v>
      </c>
      <c r="L44" s="13">
        <v>0.41</v>
      </c>
      <c r="M44" s="14">
        <v>140</v>
      </c>
      <c r="N44" s="35">
        <v>9.5</v>
      </c>
      <c r="O44" s="14">
        <v>500</v>
      </c>
      <c r="P44" s="48">
        <v>27.8</v>
      </c>
      <c r="Q44" s="14">
        <v>252</v>
      </c>
      <c r="R44" s="8">
        <v>7.9</v>
      </c>
      <c r="S44" s="13">
        <v>7.5</v>
      </c>
    </row>
    <row r="45" spans="1:19" x14ac:dyDescent="0.25">
      <c r="A45" s="17">
        <v>45701</v>
      </c>
      <c r="B45" s="13">
        <v>16373</v>
      </c>
      <c r="C45" s="13">
        <v>58</v>
      </c>
      <c r="D45" s="79">
        <f t="shared" si="0"/>
        <v>9496.34</v>
      </c>
      <c r="E45" s="13">
        <v>3.4</v>
      </c>
      <c r="F45" s="79">
        <f t="shared" si="1"/>
        <v>556.68200000000002</v>
      </c>
      <c r="G45" s="13">
        <v>1787</v>
      </c>
      <c r="H45" s="13">
        <v>197</v>
      </c>
      <c r="I45" s="41">
        <f t="shared" si="2"/>
        <v>110.24062674874091</v>
      </c>
      <c r="J45" s="13">
        <v>2.8</v>
      </c>
      <c r="K45" s="36">
        <v>16</v>
      </c>
      <c r="L45" s="13">
        <v>0.45</v>
      </c>
      <c r="M45" s="14">
        <v>189</v>
      </c>
      <c r="N45" s="35">
        <v>16</v>
      </c>
      <c r="O45" s="14">
        <v>460</v>
      </c>
      <c r="P45" s="47">
        <v>44</v>
      </c>
      <c r="Q45" s="14">
        <v>246</v>
      </c>
      <c r="R45" s="8">
        <v>9.9</v>
      </c>
      <c r="S45" s="13">
        <v>7.45</v>
      </c>
    </row>
    <row r="46" spans="1:19" x14ac:dyDescent="0.25">
      <c r="A46" s="17">
        <v>45702</v>
      </c>
      <c r="B46" s="13">
        <v>16373</v>
      </c>
      <c r="C46" s="13">
        <v>58</v>
      </c>
      <c r="D46" s="79">
        <f t="shared" si="0"/>
        <v>9496.34</v>
      </c>
      <c r="E46" s="13">
        <v>3.3</v>
      </c>
      <c r="F46" s="79">
        <f t="shared" si="1"/>
        <v>540.30899999999997</v>
      </c>
      <c r="G46" s="13">
        <v>1700</v>
      </c>
      <c r="H46" s="13">
        <v>171</v>
      </c>
      <c r="I46" s="41">
        <f t="shared" si="2"/>
        <v>100.58823529411765</v>
      </c>
      <c r="J46" s="13">
        <v>3.2</v>
      </c>
      <c r="K46" s="36">
        <v>17</v>
      </c>
      <c r="L46" s="13">
        <v>0.32</v>
      </c>
      <c r="M46" s="14">
        <v>190</v>
      </c>
      <c r="N46" s="35">
        <v>13</v>
      </c>
      <c r="O46" s="14">
        <v>500</v>
      </c>
      <c r="P46" s="48">
        <v>37.6</v>
      </c>
      <c r="Q46" s="14">
        <v>254</v>
      </c>
      <c r="R46" s="8">
        <v>8.1</v>
      </c>
      <c r="S46" s="13">
        <v>7.52</v>
      </c>
    </row>
    <row r="47" spans="1:19" x14ac:dyDescent="0.25">
      <c r="A47" s="17">
        <v>45703</v>
      </c>
      <c r="B47" s="13">
        <v>16175</v>
      </c>
      <c r="C47" s="13">
        <v>58</v>
      </c>
      <c r="D47" s="79">
        <f t="shared" si="0"/>
        <v>9381.5</v>
      </c>
      <c r="E47" s="13">
        <v>3.5</v>
      </c>
      <c r="F47" s="79">
        <f t="shared" si="1"/>
        <v>566.125</v>
      </c>
      <c r="G47" s="13">
        <v>1796</v>
      </c>
      <c r="H47" s="13">
        <v>172</v>
      </c>
      <c r="I47" s="41">
        <f t="shared" si="2"/>
        <v>95.768374164810695</v>
      </c>
      <c r="J47" s="13">
        <v>2.85</v>
      </c>
      <c r="K47" s="36">
        <v>16</v>
      </c>
      <c r="L47" s="13">
        <v>0.42</v>
      </c>
      <c r="M47" s="14">
        <v>140</v>
      </c>
      <c r="N47" s="35">
        <v>9.5</v>
      </c>
      <c r="O47" s="14">
        <v>450</v>
      </c>
      <c r="P47" s="48">
        <v>31</v>
      </c>
      <c r="Q47" s="14">
        <v>250</v>
      </c>
      <c r="R47" s="8">
        <v>8.9</v>
      </c>
      <c r="S47" s="13">
        <v>7.46</v>
      </c>
    </row>
    <row r="48" spans="1:19" x14ac:dyDescent="0.25">
      <c r="A48" s="17">
        <v>45704</v>
      </c>
      <c r="B48" s="13">
        <v>16212</v>
      </c>
      <c r="C48" s="13">
        <v>58</v>
      </c>
      <c r="D48" s="79">
        <f t="shared" si="0"/>
        <v>9402.9599999999991</v>
      </c>
      <c r="E48" s="13">
        <v>3.5</v>
      </c>
      <c r="F48" s="79">
        <f t="shared" si="1"/>
        <v>567.41999999999996</v>
      </c>
      <c r="G48" s="13">
        <v>1785</v>
      </c>
      <c r="H48" s="13">
        <v>192</v>
      </c>
      <c r="I48" s="41">
        <f t="shared" si="2"/>
        <v>107.56302521008404</v>
      </c>
      <c r="J48" s="13">
        <v>3.1</v>
      </c>
      <c r="K48" s="36">
        <v>16</v>
      </c>
      <c r="L48" s="13">
        <v>0.33</v>
      </c>
      <c r="M48" s="14">
        <v>132</v>
      </c>
      <c r="N48" s="35">
        <v>14</v>
      </c>
      <c r="O48" s="14">
        <v>430</v>
      </c>
      <c r="P48" s="48">
        <v>42.3</v>
      </c>
      <c r="Q48" s="14">
        <v>247</v>
      </c>
      <c r="R48" s="8">
        <v>11</v>
      </c>
      <c r="S48" s="13">
        <v>7.5</v>
      </c>
    </row>
    <row r="49" spans="1:19" x14ac:dyDescent="0.25">
      <c r="A49" s="17">
        <v>45705</v>
      </c>
      <c r="B49" s="13">
        <v>16047</v>
      </c>
      <c r="C49" s="13">
        <v>58</v>
      </c>
      <c r="D49" s="79">
        <f t="shared" si="0"/>
        <v>9307.26</v>
      </c>
      <c r="E49" s="13">
        <v>3.5</v>
      </c>
      <c r="F49" s="79">
        <f t="shared" si="1"/>
        <v>561.64499999999998</v>
      </c>
      <c r="G49" s="13">
        <v>1781</v>
      </c>
      <c r="H49" s="13">
        <v>202</v>
      </c>
      <c r="I49" s="41">
        <f t="shared" si="2"/>
        <v>113.41942728804042</v>
      </c>
      <c r="J49" s="13">
        <v>2.9</v>
      </c>
      <c r="K49" s="36">
        <v>17</v>
      </c>
      <c r="L49" s="13">
        <v>0.45</v>
      </c>
      <c r="M49" s="14">
        <v>136</v>
      </c>
      <c r="N49" s="35">
        <v>12</v>
      </c>
      <c r="O49" s="14">
        <v>470</v>
      </c>
      <c r="P49" s="47">
        <v>36</v>
      </c>
      <c r="Q49" s="14">
        <v>253</v>
      </c>
      <c r="R49" s="8">
        <v>9</v>
      </c>
      <c r="S49" s="13">
        <v>7.43</v>
      </c>
    </row>
    <row r="50" spans="1:19" x14ac:dyDescent="0.25">
      <c r="A50" s="17">
        <v>45706</v>
      </c>
      <c r="B50" s="13">
        <v>16061</v>
      </c>
      <c r="C50" s="13">
        <v>58</v>
      </c>
      <c r="D50" s="79">
        <f t="shared" si="0"/>
        <v>9315.3799999999992</v>
      </c>
      <c r="E50" s="13">
        <v>3.4</v>
      </c>
      <c r="F50" s="79">
        <f t="shared" si="1"/>
        <v>546.07400000000007</v>
      </c>
      <c r="G50" s="13">
        <v>1770</v>
      </c>
      <c r="H50" s="13">
        <v>160</v>
      </c>
      <c r="I50" s="41">
        <f t="shared" si="2"/>
        <v>90.395480225988706</v>
      </c>
      <c r="J50" s="13">
        <v>3.12</v>
      </c>
      <c r="K50" s="36">
        <v>18</v>
      </c>
      <c r="L50" s="13">
        <v>0.67</v>
      </c>
      <c r="M50" s="14">
        <v>133</v>
      </c>
      <c r="N50" s="35">
        <v>9</v>
      </c>
      <c r="O50" s="14">
        <v>390</v>
      </c>
      <c r="P50" s="47">
        <v>32</v>
      </c>
      <c r="Q50" s="14">
        <v>251</v>
      </c>
      <c r="R50" s="8">
        <v>8</v>
      </c>
      <c r="S50" s="13">
        <v>7.51</v>
      </c>
    </row>
    <row r="51" spans="1:19" x14ac:dyDescent="0.25">
      <c r="A51" s="17">
        <v>45707</v>
      </c>
      <c r="B51" s="13">
        <v>15781</v>
      </c>
      <c r="C51" s="13">
        <v>58</v>
      </c>
      <c r="D51" s="79">
        <f t="shared" si="0"/>
        <v>9152.98</v>
      </c>
      <c r="E51" s="13">
        <v>3.4</v>
      </c>
      <c r="F51" s="79">
        <f t="shared" si="1"/>
        <v>536.55399999999997</v>
      </c>
      <c r="G51" s="13">
        <v>1789</v>
      </c>
      <c r="H51" s="13">
        <v>192</v>
      </c>
      <c r="I51" s="41">
        <f t="shared" si="2"/>
        <v>107.3225265511459</v>
      </c>
      <c r="J51" s="13">
        <v>2.7</v>
      </c>
      <c r="K51" s="36">
        <v>18</v>
      </c>
      <c r="L51" s="13">
        <v>0.5</v>
      </c>
      <c r="M51" s="14">
        <v>127</v>
      </c>
      <c r="N51" s="35">
        <v>10</v>
      </c>
      <c r="O51" s="14">
        <v>496</v>
      </c>
      <c r="P51" s="48">
        <v>31.4</v>
      </c>
      <c r="Q51" s="14">
        <v>248</v>
      </c>
      <c r="R51" s="8">
        <v>7.7</v>
      </c>
      <c r="S51" s="13">
        <v>7.47</v>
      </c>
    </row>
    <row r="52" spans="1:19" x14ac:dyDescent="0.25">
      <c r="A52" s="17">
        <v>45708</v>
      </c>
      <c r="B52" s="13">
        <v>15795</v>
      </c>
      <c r="C52" s="13">
        <v>58</v>
      </c>
      <c r="D52" s="79">
        <f t="shared" si="0"/>
        <v>9161.1</v>
      </c>
      <c r="E52" s="13">
        <v>3.6</v>
      </c>
      <c r="F52" s="79">
        <f t="shared" si="1"/>
        <v>568.62</v>
      </c>
      <c r="G52" s="13">
        <v>1702</v>
      </c>
      <c r="H52" s="13">
        <v>170</v>
      </c>
      <c r="I52" s="41">
        <f t="shared" si="2"/>
        <v>99.882491186839019</v>
      </c>
      <c r="J52" s="13">
        <v>3</v>
      </c>
      <c r="K52" s="36">
        <v>17</v>
      </c>
      <c r="L52" s="13">
        <v>0.5</v>
      </c>
      <c r="M52" s="14">
        <v>150</v>
      </c>
      <c r="N52" s="35">
        <v>10</v>
      </c>
      <c r="O52" s="14">
        <v>530</v>
      </c>
      <c r="P52" s="47">
        <v>32</v>
      </c>
      <c r="Q52" s="14">
        <v>168</v>
      </c>
      <c r="R52" s="8">
        <v>7</v>
      </c>
      <c r="S52" s="13">
        <v>7.5</v>
      </c>
    </row>
    <row r="53" spans="1:19" x14ac:dyDescent="0.25">
      <c r="A53" s="17">
        <v>45709</v>
      </c>
      <c r="B53" s="13">
        <v>15710</v>
      </c>
      <c r="C53" s="13">
        <v>58</v>
      </c>
      <c r="D53" s="79">
        <f t="shared" si="0"/>
        <v>9111.7999999999993</v>
      </c>
      <c r="E53" s="13">
        <v>3.6</v>
      </c>
      <c r="F53" s="79">
        <f t="shared" si="1"/>
        <v>565.55999999999995</v>
      </c>
      <c r="G53" s="13">
        <v>1807</v>
      </c>
      <c r="H53" s="13">
        <v>187</v>
      </c>
      <c r="I53" s="41">
        <f t="shared" si="2"/>
        <v>103.48644161593802</v>
      </c>
      <c r="J53" s="13">
        <v>2.84</v>
      </c>
      <c r="K53" s="36">
        <v>16</v>
      </c>
      <c r="L53" s="13">
        <v>0.4</v>
      </c>
      <c r="M53" s="14">
        <v>190</v>
      </c>
      <c r="N53" s="35">
        <v>15</v>
      </c>
      <c r="O53" s="14">
        <v>544</v>
      </c>
      <c r="P53" s="47">
        <v>43</v>
      </c>
      <c r="Q53" s="14">
        <v>246</v>
      </c>
      <c r="R53" s="8">
        <v>11</v>
      </c>
      <c r="S53" s="13">
        <v>7.46</v>
      </c>
    </row>
    <row r="54" spans="1:19" x14ac:dyDescent="0.25">
      <c r="A54" s="17">
        <v>45710</v>
      </c>
      <c r="B54" s="13">
        <v>15682</v>
      </c>
      <c r="C54" s="13">
        <v>58</v>
      </c>
      <c r="D54" s="79">
        <f t="shared" si="0"/>
        <v>9095.56</v>
      </c>
      <c r="E54" s="13">
        <v>3.4</v>
      </c>
      <c r="F54" s="79">
        <f t="shared" si="1"/>
        <v>533.18799999999999</v>
      </c>
      <c r="G54" s="13">
        <v>1781</v>
      </c>
      <c r="H54" s="13">
        <v>173</v>
      </c>
      <c r="I54" s="41">
        <f t="shared" si="2"/>
        <v>97.136440202133628</v>
      </c>
      <c r="J54" s="13">
        <v>3.2</v>
      </c>
      <c r="K54" s="36">
        <v>17</v>
      </c>
      <c r="L54" s="13">
        <v>0.44</v>
      </c>
      <c r="M54" s="14">
        <v>147</v>
      </c>
      <c r="N54" s="35">
        <v>7.2</v>
      </c>
      <c r="O54" s="14">
        <v>480</v>
      </c>
      <c r="P54" s="48">
        <v>20.399999999999999</v>
      </c>
      <c r="Q54" s="14">
        <v>250</v>
      </c>
      <c r="R54" s="8">
        <v>6</v>
      </c>
      <c r="S54" s="13">
        <v>7.3</v>
      </c>
    </row>
    <row r="55" spans="1:19" x14ac:dyDescent="0.25">
      <c r="A55" s="17">
        <v>45711</v>
      </c>
      <c r="B55" s="13">
        <v>15436</v>
      </c>
      <c r="C55" s="13">
        <v>58</v>
      </c>
      <c r="D55" s="79">
        <f t="shared" si="0"/>
        <v>8952.8799999999992</v>
      </c>
      <c r="E55" s="13">
        <v>3.6</v>
      </c>
      <c r="F55" s="79">
        <f t="shared" si="1"/>
        <v>555.69600000000003</v>
      </c>
      <c r="G55" s="13">
        <v>1783</v>
      </c>
      <c r="H55" s="13">
        <v>189</v>
      </c>
      <c r="I55" s="41">
        <f t="shared" si="2"/>
        <v>106.00112170499159</v>
      </c>
      <c r="J55" s="13">
        <v>2.7</v>
      </c>
      <c r="K55" s="36">
        <v>16.5</v>
      </c>
      <c r="L55" s="13">
        <v>0.86</v>
      </c>
      <c r="M55" s="14">
        <v>186</v>
      </c>
      <c r="N55" s="35">
        <v>14</v>
      </c>
      <c r="O55" s="14">
        <v>490</v>
      </c>
      <c r="P55" s="47">
        <v>38</v>
      </c>
      <c r="Q55" s="14">
        <v>254</v>
      </c>
      <c r="R55" s="8">
        <v>9.6999999999999993</v>
      </c>
      <c r="S55" s="13">
        <v>7.26</v>
      </c>
    </row>
    <row r="56" spans="1:19" x14ac:dyDescent="0.25">
      <c r="A56" s="17">
        <v>45712</v>
      </c>
      <c r="B56" s="13">
        <v>15498</v>
      </c>
      <c r="C56" s="13">
        <v>58</v>
      </c>
      <c r="D56" s="79">
        <f t="shared" si="0"/>
        <v>8988.84</v>
      </c>
      <c r="E56" s="13">
        <v>3.6</v>
      </c>
      <c r="F56" s="79">
        <f t="shared" si="1"/>
        <v>557.928</v>
      </c>
      <c r="G56" s="13">
        <v>1807</v>
      </c>
      <c r="H56" s="13">
        <v>175</v>
      </c>
      <c r="I56" s="41">
        <f t="shared" si="2"/>
        <v>96.845600442722741</v>
      </c>
      <c r="J56" s="13">
        <v>5</v>
      </c>
      <c r="K56" s="36">
        <v>17</v>
      </c>
      <c r="L56" s="13">
        <v>0.68</v>
      </c>
      <c r="M56" s="14">
        <v>123</v>
      </c>
      <c r="N56" s="35">
        <v>11</v>
      </c>
      <c r="O56" s="14">
        <v>444</v>
      </c>
      <c r="P56" s="47">
        <v>32</v>
      </c>
      <c r="Q56" s="14">
        <v>249</v>
      </c>
      <c r="R56" s="8">
        <v>7</v>
      </c>
      <c r="S56" s="13">
        <v>7.34</v>
      </c>
    </row>
    <row r="57" spans="1:19" x14ac:dyDescent="0.25">
      <c r="A57" s="17">
        <v>45713</v>
      </c>
      <c r="B57" s="13">
        <v>15157</v>
      </c>
      <c r="C57" s="13">
        <v>58</v>
      </c>
      <c r="D57" s="79">
        <f t="shared" si="0"/>
        <v>8791.06</v>
      </c>
      <c r="E57" s="13">
        <v>3.4</v>
      </c>
      <c r="F57" s="79">
        <f t="shared" si="1"/>
        <v>515.33799999999997</v>
      </c>
      <c r="G57" s="13">
        <v>1803</v>
      </c>
      <c r="H57" s="13">
        <v>170</v>
      </c>
      <c r="I57" s="41">
        <f t="shared" si="2"/>
        <v>94.287298946200778</v>
      </c>
      <c r="J57" s="13">
        <v>2.92</v>
      </c>
      <c r="K57" s="36">
        <v>16.7</v>
      </c>
      <c r="L57" s="13">
        <v>0.65</v>
      </c>
      <c r="M57" s="14">
        <v>175</v>
      </c>
      <c r="N57" s="35">
        <v>10</v>
      </c>
      <c r="O57" s="14">
        <v>443</v>
      </c>
      <c r="P57" s="48">
        <v>28.9</v>
      </c>
      <c r="Q57" s="14">
        <v>251</v>
      </c>
      <c r="R57" s="8">
        <v>7</v>
      </c>
      <c r="S57" s="13">
        <v>7.3</v>
      </c>
    </row>
    <row r="58" spans="1:19" x14ac:dyDescent="0.25">
      <c r="A58" s="17">
        <v>45714</v>
      </c>
      <c r="B58" s="13">
        <v>10050</v>
      </c>
      <c r="C58" s="13">
        <v>58</v>
      </c>
      <c r="D58" s="79">
        <f t="shared" si="0"/>
        <v>5829</v>
      </c>
      <c r="E58" s="13">
        <v>3.3</v>
      </c>
      <c r="F58" s="79">
        <f t="shared" si="1"/>
        <v>331.65</v>
      </c>
      <c r="G58" s="13">
        <v>1795</v>
      </c>
      <c r="H58" s="13">
        <v>177</v>
      </c>
      <c r="I58" s="41">
        <f t="shared" si="2"/>
        <v>98.607242339832865</v>
      </c>
      <c r="J58" s="13">
        <v>2.9</v>
      </c>
      <c r="K58" s="36">
        <v>16</v>
      </c>
      <c r="L58" s="13">
        <v>0.38</v>
      </c>
      <c r="M58" s="14">
        <v>140</v>
      </c>
      <c r="N58" s="35">
        <v>12</v>
      </c>
      <c r="O58" s="14">
        <v>447</v>
      </c>
      <c r="P58" s="48">
        <v>34.200000000000003</v>
      </c>
      <c r="Q58" s="14">
        <v>247</v>
      </c>
      <c r="R58" s="8">
        <v>8</v>
      </c>
      <c r="S58" s="13">
        <v>7.32</v>
      </c>
    </row>
    <row r="59" spans="1:19" x14ac:dyDescent="0.25">
      <c r="A59" s="17">
        <v>45715</v>
      </c>
      <c r="B59" s="13">
        <v>15031</v>
      </c>
      <c r="C59" s="13">
        <v>58</v>
      </c>
      <c r="D59" s="79">
        <f t="shared" si="0"/>
        <v>8717.98</v>
      </c>
      <c r="E59" s="13">
        <v>3.5</v>
      </c>
      <c r="F59" s="79">
        <f t="shared" si="1"/>
        <v>526.08500000000004</v>
      </c>
      <c r="G59" s="13">
        <v>1795</v>
      </c>
      <c r="H59" s="13">
        <v>171</v>
      </c>
      <c r="I59" s="41">
        <f t="shared" si="2"/>
        <v>95.264623955431759</v>
      </c>
      <c r="J59" s="13">
        <v>2.8</v>
      </c>
      <c r="K59" s="36">
        <v>17</v>
      </c>
      <c r="L59" s="13">
        <v>0.73</v>
      </c>
      <c r="M59" s="14">
        <v>127</v>
      </c>
      <c r="N59" s="35">
        <v>11</v>
      </c>
      <c r="O59" s="14">
        <v>449</v>
      </c>
      <c r="P59" s="48">
        <v>38.5</v>
      </c>
      <c r="Q59" s="14">
        <v>253</v>
      </c>
      <c r="R59" s="8">
        <v>9</v>
      </c>
      <c r="S59" s="13">
        <v>7.27</v>
      </c>
    </row>
    <row r="60" spans="1:19" x14ac:dyDescent="0.25">
      <c r="A60" s="17">
        <v>45716</v>
      </c>
      <c r="B60" s="13">
        <v>15049</v>
      </c>
      <c r="C60" s="13">
        <v>58</v>
      </c>
      <c r="D60" s="79">
        <f t="shared" si="0"/>
        <v>8728.42</v>
      </c>
      <c r="E60" s="13">
        <v>3.5</v>
      </c>
      <c r="F60" s="79">
        <f t="shared" si="1"/>
        <v>526.71500000000003</v>
      </c>
      <c r="G60" s="13">
        <v>1775</v>
      </c>
      <c r="H60" s="13">
        <v>191</v>
      </c>
      <c r="I60" s="41">
        <f t="shared" si="2"/>
        <v>107.6056338028169</v>
      </c>
      <c r="J60" s="13">
        <v>3.05</v>
      </c>
      <c r="K60" s="36">
        <v>19</v>
      </c>
      <c r="L60" s="13">
        <v>0.37</v>
      </c>
      <c r="M60" s="14">
        <v>157</v>
      </c>
      <c r="N60" s="35">
        <v>9</v>
      </c>
      <c r="O60" s="14">
        <v>438</v>
      </c>
      <c r="P60" s="48">
        <v>26.1</v>
      </c>
      <c r="Q60" s="14">
        <v>248</v>
      </c>
      <c r="R60" s="8">
        <v>8.6</v>
      </c>
      <c r="S60" s="13">
        <v>7.35</v>
      </c>
    </row>
    <row r="61" spans="1:19" x14ac:dyDescent="0.25">
      <c r="A61" s="17">
        <v>45717</v>
      </c>
      <c r="B61" s="13">
        <v>14937</v>
      </c>
      <c r="C61" s="13">
        <v>58</v>
      </c>
      <c r="D61" s="79">
        <f t="shared" si="0"/>
        <v>8663.4599999999991</v>
      </c>
      <c r="E61" s="13">
        <v>3.5</v>
      </c>
      <c r="F61" s="79">
        <f t="shared" si="1"/>
        <v>522.79499999999996</v>
      </c>
      <c r="G61" s="13">
        <v>1802</v>
      </c>
      <c r="H61" s="13">
        <v>181</v>
      </c>
      <c r="I61" s="41">
        <f t="shared" si="2"/>
        <v>100.44395116537181</v>
      </c>
      <c r="J61" s="13">
        <v>3</v>
      </c>
      <c r="K61" s="36">
        <v>18</v>
      </c>
      <c r="L61" s="13">
        <v>0.51</v>
      </c>
      <c r="M61" s="14">
        <v>150</v>
      </c>
      <c r="N61" s="35">
        <v>12</v>
      </c>
      <c r="O61" s="14">
        <v>445</v>
      </c>
      <c r="P61" s="48">
        <v>38.700000000000003</v>
      </c>
      <c r="Q61" s="14">
        <v>252</v>
      </c>
      <c r="R61" s="8">
        <v>9</v>
      </c>
      <c r="S61" s="13">
        <v>7.29</v>
      </c>
    </row>
    <row r="62" spans="1:19" x14ac:dyDescent="0.25">
      <c r="A62" s="17">
        <v>45718</v>
      </c>
      <c r="B62" s="13">
        <v>14948</v>
      </c>
      <c r="C62" s="13">
        <v>58</v>
      </c>
      <c r="D62" s="79">
        <f t="shared" si="0"/>
        <v>8669.84</v>
      </c>
      <c r="E62" s="13">
        <v>3.4</v>
      </c>
      <c r="F62" s="79">
        <f t="shared" si="1"/>
        <v>508.23199999999997</v>
      </c>
      <c r="G62" s="13">
        <v>1937</v>
      </c>
      <c r="H62" s="13">
        <v>195</v>
      </c>
      <c r="I62" s="41">
        <f t="shared" si="2"/>
        <v>100.67114093959732</v>
      </c>
      <c r="J62" s="13">
        <v>6</v>
      </c>
      <c r="K62" s="36">
        <v>18</v>
      </c>
      <c r="L62" s="13">
        <v>0.89</v>
      </c>
      <c r="M62" s="14">
        <v>130</v>
      </c>
      <c r="N62" s="35">
        <v>12</v>
      </c>
      <c r="O62" s="14">
        <v>429</v>
      </c>
      <c r="P62" s="48">
        <v>29.2</v>
      </c>
      <c r="Q62" s="14">
        <v>246</v>
      </c>
      <c r="R62" s="8">
        <v>7.8</v>
      </c>
      <c r="S62" s="13">
        <v>7.3</v>
      </c>
    </row>
    <row r="63" spans="1:19" x14ac:dyDescent="0.25">
      <c r="A63" s="17">
        <v>45719</v>
      </c>
      <c r="B63" s="13">
        <v>15049</v>
      </c>
      <c r="C63" s="13">
        <v>58</v>
      </c>
      <c r="D63" s="79">
        <f t="shared" si="0"/>
        <v>8728.42</v>
      </c>
      <c r="E63" s="13">
        <v>3.4</v>
      </c>
      <c r="F63" s="79">
        <f t="shared" si="1"/>
        <v>511.666</v>
      </c>
      <c r="G63" s="13">
        <v>1944</v>
      </c>
      <c r="H63" s="13">
        <v>192</v>
      </c>
      <c r="I63" s="41">
        <f t="shared" si="2"/>
        <v>98.76543209876543</v>
      </c>
      <c r="J63" s="13">
        <v>2.85</v>
      </c>
      <c r="K63" s="36">
        <v>19</v>
      </c>
      <c r="L63" s="13">
        <v>0.67</v>
      </c>
      <c r="M63" s="14">
        <v>143</v>
      </c>
      <c r="N63" s="35">
        <v>10</v>
      </c>
      <c r="O63" s="14">
        <v>435</v>
      </c>
      <c r="P63" s="47">
        <v>30</v>
      </c>
      <c r="Q63" s="14">
        <v>251</v>
      </c>
      <c r="R63" s="8">
        <v>8</v>
      </c>
      <c r="S63" s="13">
        <v>7.27</v>
      </c>
    </row>
    <row r="64" spans="1:19" x14ac:dyDescent="0.25">
      <c r="A64" s="17">
        <v>45720</v>
      </c>
      <c r="B64" s="13">
        <v>14937</v>
      </c>
      <c r="C64" s="13">
        <v>58</v>
      </c>
      <c r="D64" s="79">
        <f t="shared" si="0"/>
        <v>8663.4599999999991</v>
      </c>
      <c r="E64" s="13">
        <v>3.6</v>
      </c>
      <c r="F64" s="79">
        <f t="shared" si="1"/>
        <v>537.73200000000008</v>
      </c>
      <c r="G64" s="13">
        <v>1926</v>
      </c>
      <c r="H64" s="13">
        <v>203</v>
      </c>
      <c r="I64" s="41">
        <f t="shared" si="2"/>
        <v>105.39979231568016</v>
      </c>
      <c r="J64" s="13">
        <v>3.2</v>
      </c>
      <c r="K64" s="36">
        <v>16</v>
      </c>
      <c r="L64" s="13">
        <v>0.62</v>
      </c>
      <c r="M64" s="14">
        <v>150</v>
      </c>
      <c r="N64" s="35">
        <v>13</v>
      </c>
      <c r="O64" s="14">
        <v>445</v>
      </c>
      <c r="P64" s="47">
        <v>38</v>
      </c>
      <c r="Q64" s="14">
        <v>249</v>
      </c>
      <c r="R64" s="8">
        <v>9</v>
      </c>
      <c r="S64" s="13">
        <v>7.33</v>
      </c>
    </row>
    <row r="65" spans="1:19" x14ac:dyDescent="0.25">
      <c r="A65" s="17">
        <v>45721</v>
      </c>
      <c r="B65" s="13">
        <v>14948</v>
      </c>
      <c r="C65" s="13">
        <v>58</v>
      </c>
      <c r="D65" s="79">
        <f t="shared" si="0"/>
        <v>8669.84</v>
      </c>
      <c r="E65" s="13">
        <v>3.6</v>
      </c>
      <c r="F65" s="79">
        <f t="shared" si="1"/>
        <v>538.12800000000004</v>
      </c>
      <c r="G65" s="13">
        <v>1932</v>
      </c>
      <c r="H65" s="13">
        <v>181</v>
      </c>
      <c r="I65" s="41">
        <f t="shared" si="2"/>
        <v>93.685300207039333</v>
      </c>
      <c r="J65" s="13">
        <v>3</v>
      </c>
      <c r="K65" s="36">
        <v>16</v>
      </c>
      <c r="L65" s="13">
        <v>0.7</v>
      </c>
      <c r="M65" s="14">
        <v>165</v>
      </c>
      <c r="N65" s="35">
        <v>8.6</v>
      </c>
      <c r="O65" s="14">
        <v>438</v>
      </c>
      <c r="P65" s="48">
        <v>30.5</v>
      </c>
      <c r="Q65" s="14">
        <v>254</v>
      </c>
      <c r="R65" s="8">
        <v>8.5</v>
      </c>
      <c r="S65" s="13">
        <v>7.3</v>
      </c>
    </row>
    <row r="66" spans="1:19" x14ac:dyDescent="0.25">
      <c r="A66" s="17">
        <v>45722</v>
      </c>
      <c r="B66" s="13">
        <v>15084</v>
      </c>
      <c r="C66" s="13">
        <v>58</v>
      </c>
      <c r="D66" s="79">
        <f t="shared" ref="D66:D129" si="3">(C66*B66)/100</f>
        <v>8748.7199999999993</v>
      </c>
      <c r="E66" s="13">
        <v>3.4</v>
      </c>
      <c r="F66" s="79">
        <f t="shared" ref="F66:F129" si="4">(E66*B66)/100</f>
        <v>512.85599999999999</v>
      </c>
      <c r="G66" s="13">
        <v>1921</v>
      </c>
      <c r="H66" s="13">
        <v>195</v>
      </c>
      <c r="I66" s="41">
        <f t="shared" si="2"/>
        <v>101.5096304008329</v>
      </c>
      <c r="J66" s="13">
        <v>3.52</v>
      </c>
      <c r="K66" s="36">
        <v>17</v>
      </c>
      <c r="L66" s="13">
        <v>0.8</v>
      </c>
      <c r="M66" s="14">
        <v>144</v>
      </c>
      <c r="N66" s="35">
        <v>12</v>
      </c>
      <c r="O66" s="14">
        <v>500</v>
      </c>
      <c r="P66" s="48">
        <v>37.700000000000003</v>
      </c>
      <c r="Q66" s="14">
        <v>247</v>
      </c>
      <c r="R66" s="8">
        <v>6.9</v>
      </c>
      <c r="S66" s="13">
        <v>7.32</v>
      </c>
    </row>
    <row r="67" spans="1:19" x14ac:dyDescent="0.25">
      <c r="A67" s="17">
        <v>45723</v>
      </c>
      <c r="B67" s="13">
        <v>15498</v>
      </c>
      <c r="C67" s="13">
        <v>58</v>
      </c>
      <c r="D67" s="79">
        <f t="shared" si="3"/>
        <v>8988.84</v>
      </c>
      <c r="E67" s="13">
        <v>3.3</v>
      </c>
      <c r="F67" s="79">
        <f t="shared" si="4"/>
        <v>511.43399999999997</v>
      </c>
      <c r="G67" s="13">
        <v>2030</v>
      </c>
      <c r="H67" s="13">
        <v>200</v>
      </c>
      <c r="I67" s="41">
        <f t="shared" ref="I67:I130" si="5">(H67*1000)/G67</f>
        <v>98.522167487684726</v>
      </c>
      <c r="J67" s="13">
        <v>2.9</v>
      </c>
      <c r="K67" s="36">
        <v>18</v>
      </c>
      <c r="L67" s="13">
        <v>0.76</v>
      </c>
      <c r="M67" s="14">
        <v>1135</v>
      </c>
      <c r="N67" s="35">
        <v>9.3000000000000007</v>
      </c>
      <c r="O67" s="14">
        <v>452</v>
      </c>
      <c r="P67" s="47">
        <v>33</v>
      </c>
      <c r="Q67" s="14">
        <v>250</v>
      </c>
      <c r="R67" s="8">
        <v>8</v>
      </c>
      <c r="S67" s="13">
        <v>7.26</v>
      </c>
    </row>
    <row r="68" spans="1:19" x14ac:dyDescent="0.25">
      <c r="A68" s="17">
        <v>45724</v>
      </c>
      <c r="B68" s="13">
        <v>15157</v>
      </c>
      <c r="C68" s="13">
        <v>58</v>
      </c>
      <c r="D68" s="79">
        <f t="shared" si="3"/>
        <v>8791.06</v>
      </c>
      <c r="E68" s="13">
        <v>3.5</v>
      </c>
      <c r="F68" s="79">
        <f t="shared" si="4"/>
        <v>530.495</v>
      </c>
      <c r="G68" s="13">
        <v>1919</v>
      </c>
      <c r="H68" s="13">
        <v>200</v>
      </c>
      <c r="I68" s="41">
        <f t="shared" si="5"/>
        <v>104.22094841063054</v>
      </c>
      <c r="J68" s="13">
        <v>3.3</v>
      </c>
      <c r="K68" s="36">
        <v>16.7</v>
      </c>
      <c r="L68" s="13">
        <v>0.41</v>
      </c>
      <c r="M68" s="14">
        <v>200</v>
      </c>
      <c r="N68" s="35">
        <v>14</v>
      </c>
      <c r="O68" s="14">
        <v>439</v>
      </c>
      <c r="P68" s="48">
        <v>37.9</v>
      </c>
      <c r="Q68" s="14">
        <v>253</v>
      </c>
      <c r="R68" s="8">
        <v>8.9</v>
      </c>
      <c r="S68" s="13">
        <v>7.34</v>
      </c>
    </row>
    <row r="69" spans="1:19" x14ac:dyDescent="0.25">
      <c r="A69" s="17">
        <v>45725</v>
      </c>
      <c r="B69" s="13">
        <v>15710</v>
      </c>
      <c r="C69" s="13">
        <v>58</v>
      </c>
      <c r="D69" s="79">
        <f t="shared" si="3"/>
        <v>9111.7999999999993</v>
      </c>
      <c r="E69" s="13">
        <v>3.4</v>
      </c>
      <c r="F69" s="79">
        <f t="shared" si="4"/>
        <v>534.14</v>
      </c>
      <c r="G69" s="13">
        <v>1952</v>
      </c>
      <c r="H69" s="13">
        <v>208</v>
      </c>
      <c r="I69" s="41">
        <f t="shared" si="5"/>
        <v>106.55737704918033</v>
      </c>
      <c r="J69" s="13">
        <v>3.1</v>
      </c>
      <c r="K69" s="36">
        <v>16.399999999999999</v>
      </c>
      <c r="L69" s="13">
        <v>0.28999999999999998</v>
      </c>
      <c r="M69" s="14">
        <v>200</v>
      </c>
      <c r="N69" s="35">
        <v>14.5</v>
      </c>
      <c r="O69" s="14">
        <v>443</v>
      </c>
      <c r="P69" s="48">
        <v>38.5</v>
      </c>
      <c r="Q69" s="14">
        <v>245</v>
      </c>
      <c r="R69" s="8">
        <v>8.4</v>
      </c>
      <c r="S69" s="13">
        <v>7.3</v>
      </c>
    </row>
    <row r="70" spans="1:19" x14ac:dyDescent="0.25">
      <c r="A70" s="17">
        <v>45726</v>
      </c>
      <c r="B70" s="13">
        <v>16287</v>
      </c>
      <c r="C70" s="13">
        <v>58</v>
      </c>
      <c r="D70" s="79">
        <f t="shared" si="3"/>
        <v>9446.4599999999991</v>
      </c>
      <c r="E70" s="13">
        <v>3.4</v>
      </c>
      <c r="F70" s="79">
        <f t="shared" si="4"/>
        <v>553.75799999999992</v>
      </c>
      <c r="G70" s="13">
        <v>1948</v>
      </c>
      <c r="H70" s="13">
        <v>183</v>
      </c>
      <c r="I70" s="41">
        <f t="shared" si="5"/>
        <v>93.94250513347022</v>
      </c>
      <c r="J70" s="13">
        <v>3.44</v>
      </c>
      <c r="K70" s="36">
        <v>17</v>
      </c>
      <c r="L70" s="13">
        <v>0.47</v>
      </c>
      <c r="M70" s="14">
        <v>150</v>
      </c>
      <c r="N70" s="35">
        <v>7.8</v>
      </c>
      <c r="O70" s="14">
        <v>430</v>
      </c>
      <c r="P70" s="48">
        <v>29.9</v>
      </c>
      <c r="Q70" s="14">
        <v>251</v>
      </c>
      <c r="R70" s="8">
        <v>7.2</v>
      </c>
      <c r="S70" s="13">
        <v>7.33</v>
      </c>
    </row>
    <row r="71" spans="1:19" x14ac:dyDescent="0.25">
      <c r="A71" s="17">
        <v>45727</v>
      </c>
      <c r="B71" s="13">
        <v>16372</v>
      </c>
      <c r="C71" s="13">
        <v>58</v>
      </c>
      <c r="D71" s="79">
        <f t="shared" si="3"/>
        <v>9495.76</v>
      </c>
      <c r="E71" s="13">
        <v>3.6</v>
      </c>
      <c r="F71" s="79">
        <f t="shared" si="4"/>
        <v>589.39200000000005</v>
      </c>
      <c r="G71" s="13">
        <v>1916</v>
      </c>
      <c r="H71" s="13">
        <v>176</v>
      </c>
      <c r="I71" s="41">
        <f t="shared" si="5"/>
        <v>91.858037578288105</v>
      </c>
      <c r="J71" s="13">
        <v>2.8</v>
      </c>
      <c r="K71" s="36">
        <v>16</v>
      </c>
      <c r="L71" s="13">
        <v>0.52</v>
      </c>
      <c r="M71" s="14">
        <v>130</v>
      </c>
      <c r="N71" s="35">
        <v>7.5</v>
      </c>
      <c r="O71" s="14">
        <v>454</v>
      </c>
      <c r="P71" s="47">
        <v>25</v>
      </c>
      <c r="Q71" s="14">
        <v>248</v>
      </c>
      <c r="R71" s="8">
        <v>7</v>
      </c>
      <c r="S71" s="13">
        <v>7.7</v>
      </c>
    </row>
    <row r="72" spans="1:19" x14ac:dyDescent="0.25">
      <c r="A72" s="17">
        <v>45728</v>
      </c>
      <c r="B72" s="13">
        <v>15710</v>
      </c>
      <c r="C72" s="13">
        <v>58</v>
      </c>
      <c r="D72" s="79">
        <f t="shared" si="3"/>
        <v>9111.7999999999993</v>
      </c>
      <c r="E72" s="13">
        <v>3.3</v>
      </c>
      <c r="F72" s="79">
        <f t="shared" si="4"/>
        <v>518.42999999999995</v>
      </c>
      <c r="G72" s="13">
        <v>1937</v>
      </c>
      <c r="H72" s="13">
        <v>193</v>
      </c>
      <c r="I72" s="41">
        <f t="shared" si="5"/>
        <v>99.6386164171399</v>
      </c>
      <c r="J72" s="13">
        <v>3.3</v>
      </c>
      <c r="K72" s="36">
        <v>16.8</v>
      </c>
      <c r="L72" s="13">
        <v>0.4</v>
      </c>
      <c r="M72" s="14">
        <v>161</v>
      </c>
      <c r="N72" s="35">
        <v>10</v>
      </c>
      <c r="O72" s="14">
        <v>447</v>
      </c>
      <c r="P72" s="47">
        <v>27</v>
      </c>
      <c r="Q72" s="14">
        <v>252</v>
      </c>
      <c r="R72" s="8">
        <v>6.8</v>
      </c>
      <c r="S72" s="13">
        <v>7.64</v>
      </c>
    </row>
    <row r="73" spans="1:19" x14ac:dyDescent="0.25">
      <c r="A73" s="17">
        <v>45729</v>
      </c>
      <c r="B73" s="13">
        <v>16287</v>
      </c>
      <c r="C73" s="13">
        <v>58</v>
      </c>
      <c r="D73" s="79">
        <f t="shared" si="3"/>
        <v>9446.4599999999991</v>
      </c>
      <c r="E73" s="13">
        <v>3.5</v>
      </c>
      <c r="F73" s="79">
        <f t="shared" si="4"/>
        <v>570.04499999999996</v>
      </c>
      <c r="G73" s="13">
        <v>1943</v>
      </c>
      <c r="H73" s="13">
        <v>207</v>
      </c>
      <c r="I73" s="41">
        <f t="shared" si="5"/>
        <v>106.5362840967576</v>
      </c>
      <c r="J73" s="13">
        <v>2.95</v>
      </c>
      <c r="K73" s="36">
        <v>16</v>
      </c>
      <c r="L73" s="13">
        <v>0.86</v>
      </c>
      <c r="M73" s="14">
        <v>153</v>
      </c>
      <c r="N73" s="35">
        <v>13</v>
      </c>
      <c r="O73" s="14">
        <v>540</v>
      </c>
      <c r="P73" s="47">
        <v>33</v>
      </c>
      <c r="Q73" s="14">
        <v>246</v>
      </c>
      <c r="R73" s="8">
        <v>8.6999999999999993</v>
      </c>
      <c r="S73" s="13">
        <v>7.73</v>
      </c>
    </row>
    <row r="74" spans="1:19" x14ac:dyDescent="0.25">
      <c r="A74" s="17">
        <v>45730</v>
      </c>
      <c r="B74" s="13">
        <v>16372</v>
      </c>
      <c r="C74" s="13">
        <v>58</v>
      </c>
      <c r="D74" s="79">
        <f t="shared" si="3"/>
        <v>9495.76</v>
      </c>
      <c r="E74" s="13">
        <v>3.6</v>
      </c>
      <c r="F74" s="79">
        <f t="shared" si="4"/>
        <v>589.39200000000005</v>
      </c>
      <c r="G74" s="13">
        <v>1920</v>
      </c>
      <c r="H74" s="13">
        <v>177</v>
      </c>
      <c r="I74" s="41">
        <f t="shared" si="5"/>
        <v>92.1875</v>
      </c>
      <c r="J74" s="13">
        <v>1.2</v>
      </c>
      <c r="K74" s="36">
        <v>16.7</v>
      </c>
      <c r="L74" s="13">
        <v>0.82</v>
      </c>
      <c r="M74" s="14">
        <v>145</v>
      </c>
      <c r="N74" s="35">
        <v>7</v>
      </c>
      <c r="O74" s="14">
        <v>540</v>
      </c>
      <c r="P74" s="48">
        <v>21.9</v>
      </c>
      <c r="Q74" s="14">
        <v>254</v>
      </c>
      <c r="R74" s="8">
        <v>6.2</v>
      </c>
      <c r="S74" s="13">
        <v>7.7</v>
      </c>
    </row>
    <row r="75" spans="1:19" x14ac:dyDescent="0.25">
      <c r="A75" s="17">
        <v>45731</v>
      </c>
      <c r="B75" s="13">
        <v>16675</v>
      </c>
      <c r="C75" s="13">
        <v>58</v>
      </c>
      <c r="D75" s="79">
        <f t="shared" si="3"/>
        <v>9671.5</v>
      </c>
      <c r="E75" s="13">
        <v>3.5</v>
      </c>
      <c r="F75" s="79">
        <f t="shared" si="4"/>
        <v>583.625</v>
      </c>
      <c r="G75" s="13">
        <v>1934</v>
      </c>
      <c r="H75" s="13">
        <v>176</v>
      </c>
      <c r="I75" s="41">
        <f t="shared" si="5"/>
        <v>91.003102378490169</v>
      </c>
      <c r="J75" s="13">
        <v>4</v>
      </c>
      <c r="K75" s="36">
        <v>16.5</v>
      </c>
      <c r="L75" s="13">
        <v>0.47</v>
      </c>
      <c r="M75" s="14">
        <v>155</v>
      </c>
      <c r="N75" s="35">
        <v>9</v>
      </c>
      <c r="O75" s="14">
        <v>540</v>
      </c>
      <c r="P75" s="47">
        <v>31</v>
      </c>
      <c r="Q75" s="14">
        <v>250</v>
      </c>
      <c r="R75" s="8">
        <v>7</v>
      </c>
      <c r="S75" s="13">
        <v>7.72</v>
      </c>
    </row>
    <row r="76" spans="1:19" x14ac:dyDescent="0.25">
      <c r="A76" s="17">
        <v>45732</v>
      </c>
      <c r="B76" s="13">
        <v>16406</v>
      </c>
      <c r="C76" s="13">
        <v>58</v>
      </c>
      <c r="D76" s="79">
        <f t="shared" si="3"/>
        <v>9515.48</v>
      </c>
      <c r="E76" s="13">
        <v>3.4</v>
      </c>
      <c r="F76" s="79">
        <f t="shared" si="4"/>
        <v>557.80399999999997</v>
      </c>
      <c r="G76" s="13">
        <v>1947</v>
      </c>
      <c r="H76" s="13">
        <v>195</v>
      </c>
      <c r="I76" s="41">
        <f t="shared" si="5"/>
        <v>100.15408320493066</v>
      </c>
      <c r="J76" s="13">
        <v>3.8</v>
      </c>
      <c r="K76" s="36">
        <v>16.8</v>
      </c>
      <c r="L76" s="13">
        <v>0.68</v>
      </c>
      <c r="M76" s="14">
        <v>135</v>
      </c>
      <c r="N76" s="35">
        <v>13.3</v>
      </c>
      <c r="O76" s="14">
        <v>540</v>
      </c>
      <c r="P76" s="47">
        <v>38</v>
      </c>
      <c r="Q76" s="14">
        <v>247</v>
      </c>
      <c r="R76" s="8">
        <v>9</v>
      </c>
      <c r="S76" s="13">
        <v>7.66</v>
      </c>
    </row>
    <row r="77" spans="1:19" x14ac:dyDescent="0.25">
      <c r="A77" s="17">
        <v>45733</v>
      </c>
      <c r="B77" s="13">
        <v>16462</v>
      </c>
      <c r="C77" s="13">
        <v>58</v>
      </c>
      <c r="D77" s="79">
        <f t="shared" si="3"/>
        <v>9547.9599999999991</v>
      </c>
      <c r="E77" s="13">
        <v>3.4</v>
      </c>
      <c r="F77" s="79">
        <f t="shared" si="4"/>
        <v>559.70799999999997</v>
      </c>
      <c r="G77" s="13">
        <v>1942</v>
      </c>
      <c r="H77" s="13">
        <v>173</v>
      </c>
      <c r="I77" s="41">
        <f t="shared" si="5"/>
        <v>89.083419155509787</v>
      </c>
      <c r="J77" s="13">
        <v>4.24</v>
      </c>
      <c r="K77" s="36">
        <v>17</v>
      </c>
      <c r="L77" s="13">
        <v>0.52</v>
      </c>
      <c r="M77" s="14">
        <v>160</v>
      </c>
      <c r="N77" s="35">
        <v>8</v>
      </c>
      <c r="O77" s="14">
        <v>530</v>
      </c>
      <c r="P77" s="47">
        <v>30</v>
      </c>
      <c r="Q77" s="14">
        <v>253</v>
      </c>
      <c r="R77" s="8">
        <v>6.6</v>
      </c>
      <c r="S77" s="13">
        <v>7.75</v>
      </c>
    </row>
    <row r="78" spans="1:19" x14ac:dyDescent="0.25">
      <c r="A78" s="17">
        <v>45734</v>
      </c>
      <c r="B78" s="13">
        <v>16373</v>
      </c>
      <c r="C78" s="13">
        <v>58</v>
      </c>
      <c r="D78" s="79">
        <f t="shared" si="3"/>
        <v>9496.34</v>
      </c>
      <c r="E78" s="13">
        <v>3.6</v>
      </c>
      <c r="F78" s="79">
        <f t="shared" si="4"/>
        <v>589.428</v>
      </c>
      <c r="G78" s="13">
        <v>1915</v>
      </c>
      <c r="H78" s="13">
        <v>202</v>
      </c>
      <c r="I78" s="41">
        <f t="shared" si="5"/>
        <v>105.48302872062663</v>
      </c>
      <c r="J78" s="13">
        <v>3.9</v>
      </c>
      <c r="K78" s="36">
        <v>18</v>
      </c>
      <c r="L78" s="13">
        <v>0.85</v>
      </c>
      <c r="M78" s="14">
        <v>140</v>
      </c>
      <c r="N78" s="35">
        <v>13.3</v>
      </c>
      <c r="O78" s="14">
        <v>490</v>
      </c>
      <c r="P78" s="47">
        <v>36</v>
      </c>
      <c r="Q78" s="14">
        <v>251</v>
      </c>
      <c r="R78" s="8">
        <v>10</v>
      </c>
      <c r="S78" s="13">
        <v>7.69</v>
      </c>
    </row>
    <row r="79" spans="1:19" x14ac:dyDescent="0.25">
      <c r="A79" s="17">
        <v>45735</v>
      </c>
      <c r="B79" s="13">
        <v>16373</v>
      </c>
      <c r="C79" s="13">
        <v>58</v>
      </c>
      <c r="D79" s="79">
        <f t="shared" si="3"/>
        <v>9496.34</v>
      </c>
      <c r="E79" s="13">
        <v>3.6</v>
      </c>
      <c r="F79" s="79">
        <f t="shared" si="4"/>
        <v>589.428</v>
      </c>
      <c r="G79" s="13">
        <v>1955</v>
      </c>
      <c r="H79" s="13">
        <v>194</v>
      </c>
      <c r="I79" s="41">
        <f t="shared" si="5"/>
        <v>99.232736572890019</v>
      </c>
      <c r="J79" s="13">
        <v>4.0999999999999996</v>
      </c>
      <c r="K79" s="36">
        <v>18.399999999999999</v>
      </c>
      <c r="L79" s="13">
        <v>0.56000000000000005</v>
      </c>
      <c r="M79" s="14">
        <v>150</v>
      </c>
      <c r="N79" s="35">
        <v>12</v>
      </c>
      <c r="O79" s="14">
        <v>540</v>
      </c>
      <c r="P79" s="48">
        <v>35.799999999999997</v>
      </c>
      <c r="Q79" s="14">
        <v>248</v>
      </c>
      <c r="R79" s="8">
        <v>10</v>
      </c>
      <c r="S79" s="13">
        <v>7.7</v>
      </c>
    </row>
    <row r="80" spans="1:19" x14ac:dyDescent="0.25">
      <c r="A80" s="17">
        <v>45736</v>
      </c>
      <c r="B80" s="13">
        <v>16407</v>
      </c>
      <c r="C80" s="13">
        <v>58</v>
      </c>
      <c r="D80" s="79">
        <f t="shared" si="3"/>
        <v>9516.06</v>
      </c>
      <c r="E80" s="13">
        <v>3.4</v>
      </c>
      <c r="F80" s="79">
        <f t="shared" si="4"/>
        <v>557.83799999999997</v>
      </c>
      <c r="G80" s="13">
        <v>1928</v>
      </c>
      <c r="H80" s="13">
        <v>197</v>
      </c>
      <c r="I80" s="41">
        <f t="shared" si="5"/>
        <v>102.17842323651452</v>
      </c>
      <c r="J80" s="13">
        <v>3.75</v>
      </c>
      <c r="K80" s="36">
        <v>17</v>
      </c>
      <c r="L80" s="13">
        <v>0.44</v>
      </c>
      <c r="M80" s="14">
        <v>154</v>
      </c>
      <c r="N80" s="35">
        <v>12</v>
      </c>
      <c r="O80" s="14">
        <v>500</v>
      </c>
      <c r="P80" s="47">
        <v>37</v>
      </c>
      <c r="Q80" s="14">
        <v>252</v>
      </c>
      <c r="R80" s="8">
        <v>8.5</v>
      </c>
      <c r="S80" s="13">
        <v>7.65</v>
      </c>
    </row>
    <row r="81" spans="1:19" x14ac:dyDescent="0.25">
      <c r="A81" s="17">
        <v>45737</v>
      </c>
      <c r="B81" s="13">
        <v>16409</v>
      </c>
      <c r="C81" s="13">
        <v>58</v>
      </c>
      <c r="D81" s="79">
        <f t="shared" si="3"/>
        <v>9517.2199999999993</v>
      </c>
      <c r="E81" s="13">
        <v>3.6</v>
      </c>
      <c r="F81" s="79">
        <f t="shared" si="4"/>
        <v>590.72400000000005</v>
      </c>
      <c r="G81" s="13">
        <v>1942</v>
      </c>
      <c r="H81" s="13">
        <v>176</v>
      </c>
      <c r="I81" s="41">
        <f t="shared" si="5"/>
        <v>90.628218331616893</v>
      </c>
      <c r="J81" s="13">
        <v>4.2</v>
      </c>
      <c r="K81" s="36">
        <v>18</v>
      </c>
      <c r="L81" s="13">
        <v>0.43</v>
      </c>
      <c r="M81" s="14">
        <v>136</v>
      </c>
      <c r="N81" s="35">
        <v>8</v>
      </c>
      <c r="O81" s="14">
        <v>400</v>
      </c>
      <c r="P81" s="48">
        <v>26.1</v>
      </c>
      <c r="Q81" s="14">
        <v>246</v>
      </c>
      <c r="R81" s="8">
        <v>6</v>
      </c>
      <c r="S81" s="13">
        <v>7.74</v>
      </c>
    </row>
    <row r="82" spans="1:19" x14ac:dyDescent="0.25">
      <c r="A82" s="17">
        <v>45738</v>
      </c>
      <c r="B82" s="13">
        <v>16337</v>
      </c>
      <c r="C82" s="13">
        <v>58</v>
      </c>
      <c r="D82" s="79">
        <f t="shared" si="3"/>
        <v>9475.4599999999991</v>
      </c>
      <c r="E82" s="13">
        <v>3.6</v>
      </c>
      <c r="F82" s="79">
        <f t="shared" si="4"/>
        <v>588.13200000000006</v>
      </c>
      <c r="G82" s="13">
        <v>1920</v>
      </c>
      <c r="H82" s="13">
        <v>187</v>
      </c>
      <c r="I82" s="41">
        <f t="shared" si="5"/>
        <v>97.395833333333329</v>
      </c>
      <c r="J82" s="13">
        <v>3.9</v>
      </c>
      <c r="K82" s="36">
        <v>18</v>
      </c>
      <c r="L82" s="13">
        <v>0.62</v>
      </c>
      <c r="M82" s="14">
        <v>160</v>
      </c>
      <c r="N82" s="35">
        <v>10.5</v>
      </c>
      <c r="O82" s="14">
        <v>490</v>
      </c>
      <c r="P82" s="48">
        <v>33.799999999999997</v>
      </c>
      <c r="Q82" s="14">
        <v>250</v>
      </c>
      <c r="R82" s="8">
        <v>7.1</v>
      </c>
      <c r="S82" s="13">
        <v>7.7</v>
      </c>
    </row>
    <row r="83" spans="1:19" x14ac:dyDescent="0.25">
      <c r="A83" s="17">
        <v>45739</v>
      </c>
      <c r="B83" s="13">
        <v>16248</v>
      </c>
      <c r="C83" s="13">
        <v>58</v>
      </c>
      <c r="D83" s="79">
        <f t="shared" si="3"/>
        <v>9423.84</v>
      </c>
      <c r="E83" s="13">
        <v>3.4</v>
      </c>
      <c r="F83" s="79">
        <f t="shared" si="4"/>
        <v>552.43200000000002</v>
      </c>
      <c r="G83" s="13">
        <v>1924</v>
      </c>
      <c r="H83" s="13">
        <v>179</v>
      </c>
      <c r="I83" s="41">
        <f t="shared" si="5"/>
        <v>93.035343035343033</v>
      </c>
      <c r="J83" s="13">
        <v>4.0999999999999996</v>
      </c>
      <c r="K83" s="36">
        <v>19</v>
      </c>
      <c r="L83" s="13">
        <v>0.44</v>
      </c>
      <c r="M83" s="14">
        <v>153</v>
      </c>
      <c r="N83" s="35">
        <v>8.9</v>
      </c>
      <c r="O83" s="14">
        <v>550</v>
      </c>
      <c r="P83" s="47">
        <v>27</v>
      </c>
      <c r="Q83" s="14">
        <v>254</v>
      </c>
      <c r="R83" s="8">
        <v>7.9</v>
      </c>
      <c r="S83" s="13">
        <v>7.72</v>
      </c>
    </row>
    <row r="84" spans="1:19" x14ac:dyDescent="0.25">
      <c r="A84" s="17">
        <v>45740</v>
      </c>
      <c r="B84" s="13">
        <v>16171</v>
      </c>
      <c r="C84" s="13">
        <v>58</v>
      </c>
      <c r="D84" s="79">
        <f t="shared" si="3"/>
        <v>9379.18</v>
      </c>
      <c r="E84" s="13">
        <v>3.3</v>
      </c>
      <c r="F84" s="79">
        <f t="shared" si="4"/>
        <v>533.64299999999992</v>
      </c>
      <c r="G84" s="13">
        <v>1943</v>
      </c>
      <c r="H84" s="13">
        <v>179</v>
      </c>
      <c r="I84" s="41">
        <f t="shared" si="5"/>
        <v>92.125579001543997</v>
      </c>
      <c r="J84" s="13">
        <v>3.84</v>
      </c>
      <c r="K84" s="36">
        <v>17</v>
      </c>
      <c r="L84" s="13">
        <v>0.64</v>
      </c>
      <c r="M84" s="14">
        <v>153</v>
      </c>
      <c r="N84" s="35">
        <v>9</v>
      </c>
      <c r="O84" s="14">
        <v>500</v>
      </c>
      <c r="P84" s="47">
        <v>28</v>
      </c>
      <c r="Q84" s="14">
        <v>249</v>
      </c>
      <c r="R84" s="8">
        <v>8</v>
      </c>
      <c r="S84" s="13">
        <v>7.66</v>
      </c>
    </row>
    <row r="85" spans="1:19" x14ac:dyDescent="0.25">
      <c r="A85" s="17">
        <v>45741</v>
      </c>
      <c r="B85" s="13">
        <v>15671</v>
      </c>
      <c r="C85" s="13">
        <v>58</v>
      </c>
      <c r="D85" s="79">
        <f t="shared" si="3"/>
        <v>9089.18</v>
      </c>
      <c r="E85" s="13">
        <v>3.5</v>
      </c>
      <c r="F85" s="79">
        <f t="shared" si="4"/>
        <v>548.48500000000001</v>
      </c>
      <c r="G85" s="13">
        <v>1946</v>
      </c>
      <c r="H85" s="13">
        <v>183</v>
      </c>
      <c r="I85" s="41">
        <f t="shared" si="5"/>
        <v>94.039054470709146</v>
      </c>
      <c r="J85" s="13">
        <v>4.2</v>
      </c>
      <c r="K85" s="36">
        <v>18</v>
      </c>
      <c r="L85" s="13">
        <v>0.84</v>
      </c>
      <c r="M85" s="14">
        <v>164</v>
      </c>
      <c r="N85" s="35">
        <v>7.8</v>
      </c>
      <c r="O85" s="14">
        <v>400</v>
      </c>
      <c r="P85" s="48">
        <v>25.4</v>
      </c>
      <c r="Q85" s="14">
        <v>251</v>
      </c>
      <c r="R85" s="8">
        <v>6.1</v>
      </c>
      <c r="S85" s="13">
        <v>7.73</v>
      </c>
    </row>
    <row r="86" spans="1:19" x14ac:dyDescent="0.25">
      <c r="A86" s="17">
        <v>45742</v>
      </c>
      <c r="B86" s="13">
        <v>15296</v>
      </c>
      <c r="C86" s="13">
        <v>58</v>
      </c>
      <c r="D86" s="79">
        <f t="shared" si="3"/>
        <v>8871.68</v>
      </c>
      <c r="E86" s="13">
        <v>3.5</v>
      </c>
      <c r="F86" s="79">
        <f t="shared" si="4"/>
        <v>535.36</v>
      </c>
      <c r="G86" s="13">
        <v>1921</v>
      </c>
      <c r="H86" s="13">
        <v>185</v>
      </c>
      <c r="I86" s="41">
        <f t="shared" si="5"/>
        <v>96.304008328995309</v>
      </c>
      <c r="J86" s="13">
        <v>3.9</v>
      </c>
      <c r="K86" s="36">
        <v>18</v>
      </c>
      <c r="L86" s="13">
        <v>0.52</v>
      </c>
      <c r="M86" s="14">
        <v>153</v>
      </c>
      <c r="N86" s="35">
        <v>11.5</v>
      </c>
      <c r="O86" s="14">
        <v>370</v>
      </c>
      <c r="P86" s="47">
        <v>30</v>
      </c>
      <c r="Q86" s="14">
        <v>247</v>
      </c>
      <c r="R86" s="8">
        <v>8.3000000000000007</v>
      </c>
      <c r="S86" s="13">
        <v>7.7</v>
      </c>
    </row>
    <row r="87" spans="1:19" x14ac:dyDescent="0.25">
      <c r="A87" s="17">
        <v>45743</v>
      </c>
      <c r="B87" s="13">
        <v>15122</v>
      </c>
      <c r="C87" s="13">
        <v>58</v>
      </c>
      <c r="D87" s="79">
        <f t="shared" si="3"/>
        <v>8770.76</v>
      </c>
      <c r="E87" s="13">
        <v>3.4</v>
      </c>
      <c r="F87" s="79">
        <f t="shared" si="4"/>
        <v>514.14799999999991</v>
      </c>
      <c r="G87" s="13">
        <v>1940</v>
      </c>
      <c r="H87" s="13">
        <v>197</v>
      </c>
      <c r="I87" s="41">
        <f t="shared" si="5"/>
        <v>101.54639175257732</v>
      </c>
      <c r="J87" s="13">
        <v>4.05</v>
      </c>
      <c r="K87" s="36">
        <v>18</v>
      </c>
      <c r="L87" s="13">
        <v>0.41</v>
      </c>
      <c r="M87" s="14">
        <v>145</v>
      </c>
      <c r="N87" s="35">
        <v>12</v>
      </c>
      <c r="O87" s="14">
        <v>450</v>
      </c>
      <c r="P87" s="48">
        <v>36.9</v>
      </c>
      <c r="Q87" s="14">
        <v>253</v>
      </c>
      <c r="R87" s="8">
        <v>9.3000000000000007</v>
      </c>
      <c r="S87" s="13">
        <v>7.71</v>
      </c>
    </row>
    <row r="88" spans="1:19" x14ac:dyDescent="0.25">
      <c r="A88" s="17">
        <v>45744</v>
      </c>
      <c r="B88" s="13">
        <v>14921</v>
      </c>
      <c r="C88" s="13">
        <v>58</v>
      </c>
      <c r="D88" s="79">
        <f t="shared" si="3"/>
        <v>8654.18</v>
      </c>
      <c r="E88" s="13">
        <v>3.4</v>
      </c>
      <c r="F88" s="79">
        <f t="shared" si="4"/>
        <v>507.31400000000002</v>
      </c>
      <c r="G88" s="13">
        <v>2202</v>
      </c>
      <c r="H88" s="13">
        <v>200</v>
      </c>
      <c r="I88" s="41">
        <f t="shared" si="5"/>
        <v>90.826521344232518</v>
      </c>
      <c r="J88" s="13">
        <v>4.2</v>
      </c>
      <c r="K88" s="36">
        <v>17.600000000000001</v>
      </c>
      <c r="L88" s="13">
        <v>0.9</v>
      </c>
      <c r="M88" s="14">
        <v>155</v>
      </c>
      <c r="N88" s="35">
        <v>8</v>
      </c>
      <c r="O88" s="14">
        <v>540</v>
      </c>
      <c r="P88" s="47">
        <v>26</v>
      </c>
      <c r="Q88" s="14">
        <v>248</v>
      </c>
      <c r="R88" s="8">
        <v>7.4</v>
      </c>
      <c r="S88" s="13">
        <v>7.67</v>
      </c>
    </row>
    <row r="89" spans="1:19" x14ac:dyDescent="0.25">
      <c r="A89" s="17">
        <v>45745</v>
      </c>
      <c r="B89" s="13">
        <v>14832</v>
      </c>
      <c r="C89" s="13">
        <v>58</v>
      </c>
      <c r="D89" s="79">
        <f t="shared" si="3"/>
        <v>8602.56</v>
      </c>
      <c r="E89" s="13">
        <v>3.6</v>
      </c>
      <c r="F89" s="79">
        <f t="shared" si="4"/>
        <v>533.952</v>
      </c>
      <c r="G89" s="13">
        <v>1936</v>
      </c>
      <c r="H89" s="13">
        <v>169</v>
      </c>
      <c r="I89" s="41">
        <f t="shared" si="5"/>
        <v>87.293388429752071</v>
      </c>
      <c r="J89" s="13">
        <v>3.8</v>
      </c>
      <c r="K89" s="36">
        <v>18.5</v>
      </c>
      <c r="L89" s="13">
        <v>0.59</v>
      </c>
      <c r="M89" s="14">
        <v>146.4</v>
      </c>
      <c r="N89" s="35">
        <v>6.5</v>
      </c>
      <c r="O89" s="14">
        <v>470</v>
      </c>
      <c r="P89" s="48">
        <v>24.2</v>
      </c>
      <c r="Q89" s="14">
        <v>252</v>
      </c>
      <c r="R89" s="8">
        <v>6.1</v>
      </c>
      <c r="S89" s="13">
        <v>7.5</v>
      </c>
    </row>
    <row r="90" spans="1:19" x14ac:dyDescent="0.25">
      <c r="A90" s="17">
        <v>45746</v>
      </c>
      <c r="B90" s="13">
        <v>14498</v>
      </c>
      <c r="C90" s="13">
        <v>58</v>
      </c>
      <c r="D90" s="79">
        <f t="shared" si="3"/>
        <v>8408.84</v>
      </c>
      <c r="E90" s="13">
        <v>3.3</v>
      </c>
      <c r="F90" s="79">
        <f t="shared" si="4"/>
        <v>478.43399999999997</v>
      </c>
      <c r="G90" s="13">
        <v>1917</v>
      </c>
      <c r="H90" s="13">
        <v>180</v>
      </c>
      <c r="I90" s="41">
        <f t="shared" si="5"/>
        <v>93.896713615023472</v>
      </c>
      <c r="J90" s="13">
        <v>5</v>
      </c>
      <c r="K90" s="36">
        <v>18</v>
      </c>
      <c r="L90" s="13">
        <v>0.33</v>
      </c>
      <c r="M90" s="14">
        <v>144</v>
      </c>
      <c r="N90" s="35">
        <v>10</v>
      </c>
      <c r="O90" s="14">
        <v>540</v>
      </c>
      <c r="P90" s="47">
        <v>33</v>
      </c>
      <c r="Q90" s="14">
        <v>246</v>
      </c>
      <c r="R90" s="8">
        <v>8.4</v>
      </c>
      <c r="S90" s="13">
        <v>7.46</v>
      </c>
    </row>
    <row r="91" spans="1:19" x14ac:dyDescent="0.25">
      <c r="A91" s="17">
        <v>45747</v>
      </c>
      <c r="B91" s="13">
        <v>13796</v>
      </c>
      <c r="C91" s="13">
        <v>58</v>
      </c>
      <c r="D91" s="79">
        <f t="shared" si="3"/>
        <v>8001.68</v>
      </c>
      <c r="E91" s="13">
        <v>3.5</v>
      </c>
      <c r="F91" s="79">
        <f t="shared" si="4"/>
        <v>482.86</v>
      </c>
      <c r="G91" s="13">
        <v>1920</v>
      </c>
      <c r="H91" s="13">
        <v>168</v>
      </c>
      <c r="I91" s="41">
        <f t="shared" si="5"/>
        <v>87.5</v>
      </c>
      <c r="J91" s="13">
        <v>3.92</v>
      </c>
      <c r="K91" s="36">
        <v>18.399999999999999</v>
      </c>
      <c r="L91" s="13">
        <v>0.3</v>
      </c>
      <c r="M91" s="14">
        <v>126</v>
      </c>
      <c r="N91" s="35">
        <v>6</v>
      </c>
      <c r="O91" s="14">
        <v>500</v>
      </c>
      <c r="P91" s="47">
        <v>25</v>
      </c>
      <c r="Q91" s="14">
        <v>251</v>
      </c>
      <c r="R91" s="8">
        <v>5.5</v>
      </c>
      <c r="S91" s="13">
        <v>7.54</v>
      </c>
    </row>
    <row r="92" spans="1:19" x14ac:dyDescent="0.25">
      <c r="A92" s="17">
        <v>45748</v>
      </c>
      <c r="B92" s="13">
        <v>13461</v>
      </c>
      <c r="C92" s="13">
        <v>58</v>
      </c>
      <c r="D92" s="79">
        <f t="shared" si="3"/>
        <v>7807.38</v>
      </c>
      <c r="E92" s="13">
        <v>3.6</v>
      </c>
      <c r="F92" s="79">
        <f t="shared" si="4"/>
        <v>484.596</v>
      </c>
      <c r="G92" s="13">
        <v>1994</v>
      </c>
      <c r="H92" s="13">
        <v>198</v>
      </c>
      <c r="I92" s="41">
        <f t="shared" si="5"/>
        <v>99.297893681043135</v>
      </c>
      <c r="J92" s="13">
        <v>4.0999999999999996</v>
      </c>
      <c r="K92" s="36">
        <v>21</v>
      </c>
      <c r="L92" s="13">
        <v>0.34</v>
      </c>
      <c r="M92" s="14">
        <v>140</v>
      </c>
      <c r="N92" s="35">
        <v>9.5</v>
      </c>
      <c r="O92" s="14">
        <v>351</v>
      </c>
      <c r="P92" s="47">
        <v>33</v>
      </c>
      <c r="Q92" s="14">
        <v>249</v>
      </c>
      <c r="R92" s="8">
        <v>7.2</v>
      </c>
      <c r="S92" s="13">
        <v>7.5</v>
      </c>
    </row>
    <row r="93" spans="1:19" x14ac:dyDescent="0.25">
      <c r="A93" s="17">
        <v>45749</v>
      </c>
      <c r="B93" s="13">
        <v>13165</v>
      </c>
      <c r="C93" s="13">
        <v>58</v>
      </c>
      <c r="D93" s="79">
        <f t="shared" si="3"/>
        <v>7635.7</v>
      </c>
      <c r="E93" s="13">
        <v>3.6</v>
      </c>
      <c r="F93" s="79">
        <f t="shared" si="4"/>
        <v>473.94</v>
      </c>
      <c r="G93" s="13">
        <v>2014</v>
      </c>
      <c r="H93" s="13">
        <v>189</v>
      </c>
      <c r="I93" s="41">
        <f t="shared" si="5"/>
        <v>93.843098311817286</v>
      </c>
      <c r="J93" s="13">
        <v>3.9</v>
      </c>
      <c r="K93" s="36">
        <v>20</v>
      </c>
      <c r="L93" s="13">
        <v>0.67</v>
      </c>
      <c r="M93" s="14">
        <v>135</v>
      </c>
      <c r="N93" s="35">
        <v>9</v>
      </c>
      <c r="O93" s="14">
        <v>344</v>
      </c>
      <c r="P93" s="48">
        <v>28.8</v>
      </c>
      <c r="Q93" s="14">
        <v>254</v>
      </c>
      <c r="R93" s="8">
        <v>7.5</v>
      </c>
      <c r="S93" s="13">
        <v>7.52</v>
      </c>
    </row>
    <row r="94" spans="1:19" x14ac:dyDescent="0.25">
      <c r="A94" s="17">
        <v>45750</v>
      </c>
      <c r="B94" s="13">
        <v>12666</v>
      </c>
      <c r="C94" s="13">
        <v>58</v>
      </c>
      <c r="D94" s="79">
        <f t="shared" si="3"/>
        <v>7346.28</v>
      </c>
      <c r="E94" s="13">
        <v>3.4</v>
      </c>
      <c r="F94" s="79">
        <f t="shared" si="4"/>
        <v>430.64400000000001</v>
      </c>
      <c r="G94" s="13">
        <v>1997</v>
      </c>
      <c r="H94" s="13">
        <v>199</v>
      </c>
      <c r="I94" s="41">
        <f t="shared" si="5"/>
        <v>99.649474211316971</v>
      </c>
      <c r="J94" s="13">
        <v>4.05</v>
      </c>
      <c r="K94" s="36">
        <v>24</v>
      </c>
      <c r="L94" s="13">
        <v>0.77</v>
      </c>
      <c r="M94" s="14">
        <v>162</v>
      </c>
      <c r="N94" s="35">
        <v>10.9</v>
      </c>
      <c r="O94" s="14">
        <v>344</v>
      </c>
      <c r="P94" s="47">
        <v>31</v>
      </c>
      <c r="Q94" s="14">
        <v>247</v>
      </c>
      <c r="R94" s="8">
        <v>9</v>
      </c>
      <c r="S94" s="13">
        <v>7.47</v>
      </c>
    </row>
    <row r="95" spans="1:19" x14ac:dyDescent="0.25">
      <c r="A95" s="17">
        <v>45751</v>
      </c>
      <c r="B95" s="13">
        <v>12707</v>
      </c>
      <c r="C95" s="13">
        <v>58</v>
      </c>
      <c r="D95" s="79">
        <f t="shared" si="3"/>
        <v>7370.06</v>
      </c>
      <c r="E95" s="13">
        <v>3.3</v>
      </c>
      <c r="F95" s="79">
        <f t="shared" si="4"/>
        <v>419.33099999999996</v>
      </c>
      <c r="G95" s="13">
        <v>2029</v>
      </c>
      <c r="H95" s="13">
        <v>198</v>
      </c>
      <c r="I95" s="41">
        <f t="shared" si="5"/>
        <v>97.585017249876785</v>
      </c>
      <c r="J95" s="13">
        <v>5</v>
      </c>
      <c r="K95" s="36">
        <v>23.8</v>
      </c>
      <c r="L95" s="13">
        <v>0.54</v>
      </c>
      <c r="M95" s="14">
        <v>150</v>
      </c>
      <c r="N95" s="35">
        <v>9</v>
      </c>
      <c r="O95" s="14">
        <v>352</v>
      </c>
      <c r="P95" s="48">
        <v>28.9</v>
      </c>
      <c r="Q95" s="14">
        <v>250</v>
      </c>
      <c r="R95" s="8">
        <v>8</v>
      </c>
      <c r="S95" s="13">
        <v>7.55</v>
      </c>
    </row>
    <row r="96" spans="1:19" x14ac:dyDescent="0.25">
      <c r="A96" s="17">
        <v>45752</v>
      </c>
      <c r="B96" s="13">
        <v>12623</v>
      </c>
      <c r="C96" s="13">
        <v>58</v>
      </c>
      <c r="D96" s="79">
        <f t="shared" si="3"/>
        <v>7321.34</v>
      </c>
      <c r="E96" s="13">
        <v>3.5</v>
      </c>
      <c r="F96" s="79">
        <f t="shared" si="4"/>
        <v>441.80500000000001</v>
      </c>
      <c r="G96" s="13">
        <v>1998</v>
      </c>
      <c r="H96" s="13">
        <v>178</v>
      </c>
      <c r="I96" s="41">
        <f t="shared" si="5"/>
        <v>89.089089089089086</v>
      </c>
      <c r="J96" s="13">
        <v>4.8</v>
      </c>
      <c r="K96" s="36">
        <v>24</v>
      </c>
      <c r="L96" s="13">
        <v>0.31</v>
      </c>
      <c r="M96" s="14">
        <v>144</v>
      </c>
      <c r="N96" s="35">
        <v>8</v>
      </c>
      <c r="O96" s="14">
        <v>336</v>
      </c>
      <c r="P96" s="47">
        <v>21</v>
      </c>
      <c r="Q96" s="14">
        <v>253</v>
      </c>
      <c r="R96" s="8">
        <v>6.3</v>
      </c>
      <c r="S96" s="13">
        <v>7.49</v>
      </c>
    </row>
    <row r="97" spans="1:19" x14ac:dyDescent="0.25">
      <c r="A97" s="17">
        <v>45753</v>
      </c>
      <c r="B97" s="13">
        <v>12543</v>
      </c>
      <c r="C97" s="13">
        <v>58</v>
      </c>
      <c r="D97" s="79">
        <f t="shared" si="3"/>
        <v>7274.94</v>
      </c>
      <c r="E97" s="13">
        <v>3.5</v>
      </c>
      <c r="F97" s="79">
        <f t="shared" si="4"/>
        <v>439.005</v>
      </c>
      <c r="G97" s="13">
        <v>2430</v>
      </c>
      <c r="H97" s="13">
        <v>209</v>
      </c>
      <c r="I97" s="41">
        <f t="shared" si="5"/>
        <v>86.008230452674894</v>
      </c>
      <c r="J97" s="13">
        <v>5.14</v>
      </c>
      <c r="K97" s="36">
        <v>22</v>
      </c>
      <c r="L97" s="13">
        <v>0.51</v>
      </c>
      <c r="M97" s="14">
        <v>124</v>
      </c>
      <c r="N97" s="35">
        <v>7</v>
      </c>
      <c r="O97" s="14">
        <v>327</v>
      </c>
      <c r="P97" s="47">
        <v>20</v>
      </c>
      <c r="Q97" s="14">
        <v>245</v>
      </c>
      <c r="R97" s="8">
        <v>6.4</v>
      </c>
      <c r="S97" s="13">
        <v>7.5</v>
      </c>
    </row>
    <row r="98" spans="1:19" x14ac:dyDescent="0.25">
      <c r="A98" s="17">
        <v>45754</v>
      </c>
      <c r="B98" s="13">
        <v>12460</v>
      </c>
      <c r="C98" s="13">
        <v>58</v>
      </c>
      <c r="D98" s="79">
        <f t="shared" si="3"/>
        <v>7226.8</v>
      </c>
      <c r="E98" s="13">
        <v>3.5</v>
      </c>
      <c r="F98" s="79">
        <f t="shared" si="4"/>
        <v>436.1</v>
      </c>
      <c r="G98" s="13">
        <v>2028</v>
      </c>
      <c r="H98" s="13">
        <v>206</v>
      </c>
      <c r="I98" s="41">
        <f t="shared" si="5"/>
        <v>101.57790927021696</v>
      </c>
      <c r="J98" s="13">
        <v>4.9000000000000004</v>
      </c>
      <c r="K98" s="36">
        <v>20</v>
      </c>
      <c r="L98" s="13">
        <v>0.9</v>
      </c>
      <c r="M98" s="14">
        <v>168</v>
      </c>
      <c r="N98" s="35">
        <v>13</v>
      </c>
      <c r="O98" s="14">
        <v>345</v>
      </c>
      <c r="P98" s="47">
        <v>32</v>
      </c>
      <c r="Q98" s="14">
        <v>251</v>
      </c>
      <c r="R98" s="8">
        <v>8</v>
      </c>
      <c r="S98" s="13">
        <v>7.48</v>
      </c>
    </row>
    <row r="99" spans="1:19" x14ac:dyDescent="0.25">
      <c r="A99" s="17">
        <v>45755</v>
      </c>
      <c r="B99" s="13">
        <v>12414</v>
      </c>
      <c r="C99" s="13">
        <v>58</v>
      </c>
      <c r="D99" s="79">
        <f t="shared" si="3"/>
        <v>7200.12</v>
      </c>
      <c r="E99" s="13">
        <v>3.4</v>
      </c>
      <c r="F99" s="79">
        <f t="shared" si="4"/>
        <v>422.07599999999996</v>
      </c>
      <c r="G99" s="13">
        <v>1999</v>
      </c>
      <c r="H99" s="13">
        <v>199</v>
      </c>
      <c r="I99" s="41">
        <f t="shared" si="5"/>
        <v>99.549774887443718</v>
      </c>
      <c r="J99" s="13">
        <v>4.7</v>
      </c>
      <c r="K99" s="36">
        <v>23</v>
      </c>
      <c r="L99" s="13">
        <v>0.6</v>
      </c>
      <c r="M99" s="14">
        <v>150</v>
      </c>
      <c r="N99" s="35">
        <v>9.9</v>
      </c>
      <c r="O99" s="14">
        <v>327</v>
      </c>
      <c r="P99" s="48">
        <v>27.4</v>
      </c>
      <c r="Q99" s="14">
        <v>248</v>
      </c>
      <c r="R99" s="8">
        <v>7</v>
      </c>
      <c r="S99" s="13">
        <v>7.53</v>
      </c>
    </row>
    <row r="100" spans="1:19" x14ac:dyDescent="0.25">
      <c r="A100" s="17">
        <v>45756</v>
      </c>
      <c r="B100" s="13">
        <v>12300</v>
      </c>
      <c r="C100" s="13">
        <v>63</v>
      </c>
      <c r="D100" s="79">
        <f t="shared" si="3"/>
        <v>7749</v>
      </c>
      <c r="E100" s="13">
        <v>3.6</v>
      </c>
      <c r="F100" s="79">
        <f t="shared" si="4"/>
        <v>442.8</v>
      </c>
      <c r="G100" s="13">
        <v>2000</v>
      </c>
      <c r="H100" s="13">
        <v>190</v>
      </c>
      <c r="I100" s="41">
        <f t="shared" si="5"/>
        <v>95</v>
      </c>
      <c r="J100" s="13">
        <v>3</v>
      </c>
      <c r="K100" s="36">
        <v>22</v>
      </c>
      <c r="L100" s="13">
        <v>0.7</v>
      </c>
      <c r="M100" s="14">
        <v>170</v>
      </c>
      <c r="N100" s="35">
        <v>13</v>
      </c>
      <c r="O100" s="14">
        <v>400</v>
      </c>
      <c r="P100" s="48">
        <v>28</v>
      </c>
      <c r="Q100" s="14">
        <v>250</v>
      </c>
      <c r="R100" s="8">
        <v>10</v>
      </c>
      <c r="S100" s="13">
        <v>7</v>
      </c>
    </row>
    <row r="101" spans="1:19" x14ac:dyDescent="0.25">
      <c r="A101" s="17">
        <v>45757</v>
      </c>
      <c r="B101" s="13">
        <v>12296</v>
      </c>
      <c r="C101" s="13">
        <v>58</v>
      </c>
      <c r="D101" s="79">
        <f t="shared" si="3"/>
        <v>7131.68</v>
      </c>
      <c r="E101" s="13">
        <v>3.6</v>
      </c>
      <c r="F101" s="79">
        <f t="shared" si="4"/>
        <v>442.65600000000001</v>
      </c>
      <c r="G101" s="13">
        <v>2003</v>
      </c>
      <c r="H101" s="13">
        <v>189</v>
      </c>
      <c r="I101" s="41">
        <f t="shared" si="5"/>
        <v>94.35846230654019</v>
      </c>
      <c r="J101" s="13">
        <v>4.8499999999999996</v>
      </c>
      <c r="K101" s="36">
        <v>23.6</v>
      </c>
      <c r="L101" s="13">
        <v>0.81</v>
      </c>
      <c r="M101" s="14">
        <v>123</v>
      </c>
      <c r="N101" s="35">
        <v>10</v>
      </c>
      <c r="O101" s="14">
        <v>330</v>
      </c>
      <c r="P101" s="48">
        <v>28</v>
      </c>
      <c r="Q101" s="14">
        <v>246</v>
      </c>
      <c r="R101" s="8">
        <v>8</v>
      </c>
      <c r="S101" s="13">
        <v>7.5</v>
      </c>
    </row>
    <row r="102" spans="1:19" x14ac:dyDescent="0.25">
      <c r="A102" s="17">
        <v>45758</v>
      </c>
      <c r="B102" s="13">
        <v>12145</v>
      </c>
      <c r="C102" s="13">
        <v>58</v>
      </c>
      <c r="D102" s="79">
        <f t="shared" si="3"/>
        <v>7044.1</v>
      </c>
      <c r="E102" s="13">
        <v>3.3</v>
      </c>
      <c r="F102" s="79">
        <f t="shared" si="4"/>
        <v>400.78500000000003</v>
      </c>
      <c r="G102" s="13">
        <v>2029</v>
      </c>
      <c r="H102" s="13">
        <v>189</v>
      </c>
      <c r="I102" s="41">
        <f t="shared" si="5"/>
        <v>93.149334647609663</v>
      </c>
      <c r="J102" s="13">
        <v>5.0999999999999996</v>
      </c>
      <c r="K102" s="36">
        <v>22</v>
      </c>
      <c r="L102" s="13">
        <v>0.28000000000000003</v>
      </c>
      <c r="M102" s="14">
        <v>185</v>
      </c>
      <c r="N102" s="35">
        <v>14</v>
      </c>
      <c r="O102" s="14">
        <v>440</v>
      </c>
      <c r="P102" s="48">
        <v>37.799999999999997</v>
      </c>
      <c r="Q102" s="14">
        <v>254</v>
      </c>
      <c r="R102" s="8">
        <v>10</v>
      </c>
      <c r="S102" s="13">
        <v>7.46</v>
      </c>
    </row>
    <row r="103" spans="1:19" x14ac:dyDescent="0.25">
      <c r="A103" s="17">
        <v>45759</v>
      </c>
      <c r="B103" s="13">
        <v>12168</v>
      </c>
      <c r="C103" s="13">
        <v>58</v>
      </c>
      <c r="D103" s="79">
        <f t="shared" si="3"/>
        <v>7057.44</v>
      </c>
      <c r="E103" s="13">
        <v>3.5</v>
      </c>
      <c r="F103" s="79">
        <f t="shared" si="4"/>
        <v>425.88</v>
      </c>
      <c r="G103" s="13">
        <v>2016</v>
      </c>
      <c r="H103" s="13">
        <v>212</v>
      </c>
      <c r="I103" s="41">
        <f t="shared" si="5"/>
        <v>105.15873015873017</v>
      </c>
      <c r="J103" s="13">
        <v>5</v>
      </c>
      <c r="K103" s="36">
        <v>20</v>
      </c>
      <c r="L103" s="13">
        <v>0.72</v>
      </c>
      <c r="M103" s="14">
        <v>200</v>
      </c>
      <c r="N103" s="35">
        <v>16</v>
      </c>
      <c r="O103" s="14">
        <v>555</v>
      </c>
      <c r="P103" s="48">
        <v>47.8</v>
      </c>
      <c r="Q103" s="14">
        <v>250</v>
      </c>
      <c r="R103" s="8">
        <v>9.9</v>
      </c>
      <c r="S103" s="13">
        <v>7.54</v>
      </c>
    </row>
    <row r="104" spans="1:19" x14ac:dyDescent="0.25">
      <c r="A104" s="17">
        <v>45760</v>
      </c>
      <c r="B104" s="13">
        <v>11918</v>
      </c>
      <c r="C104" s="13">
        <v>58</v>
      </c>
      <c r="D104" s="79">
        <f t="shared" si="3"/>
        <v>6912.44</v>
      </c>
      <c r="E104" s="13">
        <v>3.6</v>
      </c>
      <c r="F104" s="79">
        <f t="shared" si="4"/>
        <v>429.048</v>
      </c>
      <c r="G104" s="13">
        <v>2024</v>
      </c>
      <c r="H104" s="13">
        <v>201</v>
      </c>
      <c r="I104" s="41">
        <f t="shared" si="5"/>
        <v>99.308300395256921</v>
      </c>
      <c r="J104" s="13">
        <v>5.04</v>
      </c>
      <c r="K104" s="36">
        <v>21</v>
      </c>
      <c r="L104" s="13">
        <v>0.7</v>
      </c>
      <c r="M104" s="14">
        <v>146</v>
      </c>
      <c r="N104" s="35">
        <v>8.9</v>
      </c>
      <c r="O104" s="14">
        <v>325</v>
      </c>
      <c r="P104" s="48">
        <v>27.7</v>
      </c>
      <c r="Q104" s="14">
        <v>247</v>
      </c>
      <c r="R104" s="8">
        <v>7</v>
      </c>
      <c r="S104" s="13">
        <v>7.5</v>
      </c>
    </row>
    <row r="105" spans="1:19" x14ac:dyDescent="0.25">
      <c r="A105" s="17">
        <v>45761</v>
      </c>
      <c r="B105" s="13">
        <v>11918</v>
      </c>
      <c r="C105" s="13">
        <v>58</v>
      </c>
      <c r="D105" s="79">
        <f t="shared" si="3"/>
        <v>6912.44</v>
      </c>
      <c r="E105" s="13">
        <v>3.6</v>
      </c>
      <c r="F105" s="79">
        <f t="shared" si="4"/>
        <v>429.048</v>
      </c>
      <c r="G105" s="13">
        <v>2001</v>
      </c>
      <c r="H105" s="13">
        <v>217</v>
      </c>
      <c r="I105" s="41">
        <f t="shared" si="5"/>
        <v>108.44577711144427</v>
      </c>
      <c r="J105" s="13">
        <v>4.8</v>
      </c>
      <c r="K105" s="36">
        <v>22</v>
      </c>
      <c r="L105" s="13">
        <v>0.61</v>
      </c>
      <c r="M105" s="14">
        <v>198</v>
      </c>
      <c r="N105" s="35">
        <v>15.6</v>
      </c>
      <c r="O105" s="14">
        <v>488</v>
      </c>
      <c r="P105" s="47">
        <v>45</v>
      </c>
      <c r="Q105" s="14">
        <v>253</v>
      </c>
      <c r="R105" s="8">
        <v>11</v>
      </c>
      <c r="S105" s="13">
        <v>7.51</v>
      </c>
    </row>
    <row r="106" spans="1:19" x14ac:dyDescent="0.25">
      <c r="A106" s="17">
        <v>45762</v>
      </c>
      <c r="B106" s="13">
        <v>12165</v>
      </c>
      <c r="C106" s="13">
        <v>58</v>
      </c>
      <c r="D106" s="79">
        <f t="shared" si="3"/>
        <v>7055.7</v>
      </c>
      <c r="E106" s="13">
        <v>3.4</v>
      </c>
      <c r="F106" s="79">
        <f t="shared" si="4"/>
        <v>413.61</v>
      </c>
      <c r="G106" s="13">
        <v>2008</v>
      </c>
      <c r="H106" s="13">
        <v>193</v>
      </c>
      <c r="I106" s="41">
        <f t="shared" si="5"/>
        <v>96.115537848605584</v>
      </c>
      <c r="J106" s="13">
        <v>5.0999999999999996</v>
      </c>
      <c r="K106" s="36">
        <v>23</v>
      </c>
      <c r="L106" s="13">
        <v>0.44</v>
      </c>
      <c r="M106" s="14">
        <v>139</v>
      </c>
      <c r="N106" s="35">
        <v>9.9</v>
      </c>
      <c r="O106" s="14">
        <v>400</v>
      </c>
      <c r="P106" s="48">
        <v>27.6</v>
      </c>
      <c r="Q106" s="14">
        <v>251</v>
      </c>
      <c r="R106" s="8">
        <v>8.6</v>
      </c>
      <c r="S106" s="13">
        <v>7.47</v>
      </c>
    </row>
    <row r="107" spans="1:19" x14ac:dyDescent="0.25">
      <c r="A107" s="17">
        <v>45763</v>
      </c>
      <c r="B107" s="13">
        <v>12168</v>
      </c>
      <c r="C107" s="13">
        <v>58</v>
      </c>
      <c r="D107" s="79">
        <f t="shared" si="3"/>
        <v>7057.44</v>
      </c>
      <c r="E107" s="13">
        <v>3.3</v>
      </c>
      <c r="F107" s="79">
        <f t="shared" si="4"/>
        <v>401.54400000000004</v>
      </c>
      <c r="G107" s="13">
        <v>1993</v>
      </c>
      <c r="H107" s="13">
        <v>189</v>
      </c>
      <c r="I107" s="41">
        <f t="shared" si="5"/>
        <v>94.831911690918218</v>
      </c>
      <c r="J107" s="13">
        <v>4.95</v>
      </c>
      <c r="K107" s="36">
        <v>23</v>
      </c>
      <c r="L107" s="13">
        <v>0.67</v>
      </c>
      <c r="M107" s="14">
        <v>158</v>
      </c>
      <c r="N107" s="35">
        <v>9.6999999999999993</v>
      </c>
      <c r="O107" s="14">
        <v>349</v>
      </c>
      <c r="P107" s="47">
        <v>30</v>
      </c>
      <c r="Q107" s="14">
        <v>248</v>
      </c>
      <c r="R107" s="8">
        <v>8</v>
      </c>
      <c r="S107" s="13">
        <v>7.4</v>
      </c>
    </row>
    <row r="108" spans="1:19" x14ac:dyDescent="0.25">
      <c r="A108" s="17">
        <v>45764</v>
      </c>
      <c r="B108" s="13">
        <v>11694</v>
      </c>
      <c r="C108" s="13">
        <v>60</v>
      </c>
      <c r="D108" s="79">
        <f t="shared" si="3"/>
        <v>7016.4</v>
      </c>
      <c r="E108" s="13">
        <v>3.5</v>
      </c>
      <c r="F108" s="79">
        <f t="shared" si="4"/>
        <v>409.29</v>
      </c>
      <c r="G108" s="13">
        <v>2015</v>
      </c>
      <c r="H108" s="13">
        <v>186</v>
      </c>
      <c r="I108" s="41">
        <f t="shared" si="5"/>
        <v>92.307692307692307</v>
      </c>
      <c r="J108" s="13">
        <v>5.2</v>
      </c>
      <c r="K108" s="36">
        <v>23.5</v>
      </c>
      <c r="L108" s="13">
        <v>0.34</v>
      </c>
      <c r="M108" s="14">
        <v>130</v>
      </c>
      <c r="N108" s="35">
        <v>9.4</v>
      </c>
      <c r="O108" s="14">
        <v>338</v>
      </c>
      <c r="P108" s="48">
        <v>27</v>
      </c>
      <c r="Q108" s="14">
        <v>252</v>
      </c>
      <c r="R108" s="8">
        <v>8</v>
      </c>
      <c r="S108" s="13">
        <v>7.36</v>
      </c>
    </row>
    <row r="109" spans="1:19" x14ac:dyDescent="0.25">
      <c r="A109" s="17">
        <v>45765</v>
      </c>
      <c r="B109" s="13">
        <v>11685</v>
      </c>
      <c r="C109" s="13">
        <v>60</v>
      </c>
      <c r="D109" s="79">
        <f t="shared" si="3"/>
        <v>7011</v>
      </c>
      <c r="E109" s="13">
        <v>3.5</v>
      </c>
      <c r="F109" s="79">
        <f t="shared" si="4"/>
        <v>408.97500000000002</v>
      </c>
      <c r="G109" s="13">
        <v>2010</v>
      </c>
      <c r="H109" s="13">
        <v>183</v>
      </c>
      <c r="I109" s="41">
        <f t="shared" si="5"/>
        <v>91.044776119402982</v>
      </c>
      <c r="J109" s="13">
        <v>4.8</v>
      </c>
      <c r="K109" s="36">
        <v>24</v>
      </c>
      <c r="L109" s="13">
        <v>0.54</v>
      </c>
      <c r="M109" s="14">
        <v>147</v>
      </c>
      <c r="N109" s="35">
        <v>9.3000000000000007</v>
      </c>
      <c r="O109" s="14">
        <v>337</v>
      </c>
      <c r="P109" s="48">
        <v>28.6</v>
      </c>
      <c r="Q109" s="14">
        <v>246</v>
      </c>
      <c r="R109" s="8">
        <v>8.6999999999999993</v>
      </c>
      <c r="S109" s="13">
        <v>7.44</v>
      </c>
    </row>
    <row r="110" spans="1:19" x14ac:dyDescent="0.25">
      <c r="A110" s="17">
        <v>45766</v>
      </c>
      <c r="B110" s="13">
        <v>11956</v>
      </c>
      <c r="C110" s="13">
        <v>60</v>
      </c>
      <c r="D110" s="79">
        <f t="shared" si="3"/>
        <v>7173.6</v>
      </c>
      <c r="E110" s="13">
        <v>3.5</v>
      </c>
      <c r="F110" s="79">
        <f t="shared" si="4"/>
        <v>418.46</v>
      </c>
      <c r="G110" s="13">
        <v>2012</v>
      </c>
      <c r="H110" s="13">
        <v>182</v>
      </c>
      <c r="I110" s="41">
        <f t="shared" si="5"/>
        <v>90.457256461232603</v>
      </c>
      <c r="J110" s="13">
        <v>5.0999999999999996</v>
      </c>
      <c r="K110" s="36">
        <v>22</v>
      </c>
      <c r="L110" s="13">
        <v>0.56000000000000005</v>
      </c>
      <c r="M110" s="14">
        <v>160</v>
      </c>
      <c r="N110" s="35">
        <v>9</v>
      </c>
      <c r="O110" s="14">
        <v>492</v>
      </c>
      <c r="P110" s="47">
        <v>32</v>
      </c>
      <c r="Q110" s="14">
        <v>250</v>
      </c>
      <c r="R110" s="8">
        <v>7.3</v>
      </c>
      <c r="S110" s="13">
        <v>7.4</v>
      </c>
    </row>
    <row r="111" spans="1:19" x14ac:dyDescent="0.25">
      <c r="A111" s="17">
        <v>45767</v>
      </c>
      <c r="B111" s="13">
        <v>11914</v>
      </c>
      <c r="C111" s="13">
        <v>60</v>
      </c>
      <c r="D111" s="79">
        <f t="shared" si="3"/>
        <v>7148.4</v>
      </c>
      <c r="E111" s="13">
        <v>3.4</v>
      </c>
      <c r="F111" s="79">
        <f t="shared" si="4"/>
        <v>405.07599999999996</v>
      </c>
      <c r="G111" s="13">
        <v>2026</v>
      </c>
      <c r="H111" s="13">
        <v>201</v>
      </c>
      <c r="I111" s="41">
        <f t="shared" si="5"/>
        <v>99.210266535044425</v>
      </c>
      <c r="J111" s="13">
        <v>4.92</v>
      </c>
      <c r="K111" s="36">
        <v>24</v>
      </c>
      <c r="L111" s="13">
        <v>0.87</v>
      </c>
      <c r="M111" s="14">
        <v>138</v>
      </c>
      <c r="N111" s="35">
        <v>10.6</v>
      </c>
      <c r="O111" s="14">
        <v>477</v>
      </c>
      <c r="P111" s="48">
        <v>26.2</v>
      </c>
      <c r="Q111" s="14">
        <v>254</v>
      </c>
      <c r="R111" s="8">
        <v>8.4</v>
      </c>
      <c r="S111" s="13">
        <v>7.42</v>
      </c>
    </row>
    <row r="112" spans="1:19" x14ac:dyDescent="0.25">
      <c r="A112" s="17">
        <v>45768</v>
      </c>
      <c r="B112" s="13">
        <v>11531</v>
      </c>
      <c r="C112" s="13">
        <v>60</v>
      </c>
      <c r="D112" s="79">
        <f t="shared" si="3"/>
        <v>6918.6</v>
      </c>
      <c r="E112" s="13">
        <v>3.4</v>
      </c>
      <c r="F112" s="79">
        <f t="shared" si="4"/>
        <v>392.05400000000003</v>
      </c>
      <c r="G112" s="13">
        <v>2017</v>
      </c>
      <c r="H112" s="13">
        <v>186</v>
      </c>
      <c r="I112" s="41">
        <f t="shared" si="5"/>
        <v>92.216162617749134</v>
      </c>
      <c r="J112" s="13">
        <v>5.0999999999999996</v>
      </c>
      <c r="K112" s="36">
        <v>20</v>
      </c>
      <c r="L112" s="13">
        <v>0.82</v>
      </c>
      <c r="M112" s="14">
        <v>122</v>
      </c>
      <c r="N112" s="35">
        <v>9.6</v>
      </c>
      <c r="O112" s="14">
        <v>484</v>
      </c>
      <c r="P112" s="47">
        <v>32</v>
      </c>
      <c r="Q112" s="14">
        <v>249</v>
      </c>
      <c r="R112" s="8">
        <v>7</v>
      </c>
      <c r="S112" s="13">
        <v>7.37</v>
      </c>
    </row>
    <row r="113" spans="1:19" x14ac:dyDescent="0.25">
      <c r="A113" s="17">
        <v>45769</v>
      </c>
      <c r="B113" s="13">
        <v>11268</v>
      </c>
      <c r="C113" s="13">
        <v>60</v>
      </c>
      <c r="D113" s="79">
        <f t="shared" si="3"/>
        <v>6760.8</v>
      </c>
      <c r="E113" s="13">
        <v>3.6</v>
      </c>
      <c r="F113" s="79">
        <f t="shared" si="4"/>
        <v>405.64800000000002</v>
      </c>
      <c r="G113" s="13">
        <v>1990</v>
      </c>
      <c r="H113" s="13">
        <v>197</v>
      </c>
      <c r="I113" s="41">
        <f t="shared" si="5"/>
        <v>98.994974874371863</v>
      </c>
      <c r="J113" s="13">
        <v>5</v>
      </c>
      <c r="K113" s="36">
        <v>22</v>
      </c>
      <c r="L113" s="13">
        <v>0.44</v>
      </c>
      <c r="M113" s="14">
        <v>134</v>
      </c>
      <c r="N113" s="35">
        <v>9.3000000000000007</v>
      </c>
      <c r="O113" s="14">
        <v>466</v>
      </c>
      <c r="P113" s="48">
        <v>30.6</v>
      </c>
      <c r="Q113" s="14">
        <v>251</v>
      </c>
      <c r="R113" s="8">
        <v>7.3</v>
      </c>
      <c r="S113" s="13">
        <v>7.45</v>
      </c>
    </row>
    <row r="114" spans="1:19" x14ac:dyDescent="0.25">
      <c r="A114" s="17">
        <v>45770</v>
      </c>
      <c r="B114" s="13">
        <v>11293</v>
      </c>
      <c r="C114" s="13">
        <v>60</v>
      </c>
      <c r="D114" s="79">
        <f t="shared" si="3"/>
        <v>6775.8</v>
      </c>
      <c r="E114" s="13">
        <v>3.6</v>
      </c>
      <c r="F114" s="79">
        <f t="shared" si="4"/>
        <v>406.548</v>
      </c>
      <c r="G114" s="13">
        <v>2010</v>
      </c>
      <c r="H114" s="13">
        <v>199</v>
      </c>
      <c r="I114" s="41">
        <f t="shared" si="5"/>
        <v>99.004975124378106</v>
      </c>
      <c r="J114" s="13">
        <v>5.05</v>
      </c>
      <c r="K114" s="36">
        <v>22</v>
      </c>
      <c r="L114" s="13">
        <v>0.59</v>
      </c>
      <c r="M114" s="14">
        <v>180</v>
      </c>
      <c r="N114" s="35">
        <v>11</v>
      </c>
      <c r="O114" s="14">
        <v>481</v>
      </c>
      <c r="P114" s="48">
        <v>31.1</v>
      </c>
      <c r="Q114" s="14">
        <v>247</v>
      </c>
      <c r="R114" s="8">
        <v>8</v>
      </c>
      <c r="S114" s="13">
        <v>7.39</v>
      </c>
    </row>
    <row r="115" spans="1:19" x14ac:dyDescent="0.25">
      <c r="A115" s="17">
        <v>45771</v>
      </c>
      <c r="B115" s="13">
        <v>11558</v>
      </c>
      <c r="C115" s="13">
        <v>60</v>
      </c>
      <c r="D115" s="79">
        <f t="shared" si="3"/>
        <v>6934.8</v>
      </c>
      <c r="E115" s="13">
        <v>3.3</v>
      </c>
      <c r="F115" s="79">
        <f t="shared" si="4"/>
        <v>381.41399999999999</v>
      </c>
      <c r="G115" s="13">
        <v>2018</v>
      </c>
      <c r="H115" s="13">
        <v>197</v>
      </c>
      <c r="I115" s="41">
        <f t="shared" si="5"/>
        <v>97.621407333994057</v>
      </c>
      <c r="J115" s="13">
        <v>3.2</v>
      </c>
      <c r="K115" s="36">
        <v>21</v>
      </c>
      <c r="L115" s="13">
        <v>0.38</v>
      </c>
      <c r="M115" s="14">
        <v>135</v>
      </c>
      <c r="N115" s="35">
        <v>10</v>
      </c>
      <c r="O115" s="14">
        <v>480</v>
      </c>
      <c r="P115" s="47">
        <v>26</v>
      </c>
      <c r="Q115" s="14">
        <v>253</v>
      </c>
      <c r="R115" s="8">
        <v>8</v>
      </c>
      <c r="S115" s="13">
        <v>7.4</v>
      </c>
    </row>
    <row r="116" spans="1:19" x14ac:dyDescent="0.25">
      <c r="A116" s="17">
        <v>45772</v>
      </c>
      <c r="B116" s="13">
        <v>11418</v>
      </c>
      <c r="C116" s="13">
        <v>60</v>
      </c>
      <c r="D116" s="79">
        <f t="shared" si="3"/>
        <v>6850.8</v>
      </c>
      <c r="E116" s="13">
        <v>3.5</v>
      </c>
      <c r="F116" s="79">
        <f t="shared" si="4"/>
        <v>399.63</v>
      </c>
      <c r="G116" s="13">
        <v>2025</v>
      </c>
      <c r="H116" s="13">
        <v>213</v>
      </c>
      <c r="I116" s="41">
        <f t="shared" si="5"/>
        <v>105.18518518518519</v>
      </c>
      <c r="J116" s="13">
        <v>2.9</v>
      </c>
      <c r="K116" s="36">
        <v>23</v>
      </c>
      <c r="L116" s="13">
        <v>0.84</v>
      </c>
      <c r="M116" s="14">
        <v>168</v>
      </c>
      <c r="N116" s="35">
        <v>13</v>
      </c>
      <c r="O116" s="14">
        <v>468</v>
      </c>
      <c r="P116" s="48">
        <v>37.4</v>
      </c>
      <c r="Q116" s="14">
        <v>248</v>
      </c>
      <c r="R116" s="8">
        <v>11</v>
      </c>
      <c r="S116" s="13">
        <v>7.37</v>
      </c>
    </row>
    <row r="117" spans="1:19" x14ac:dyDescent="0.25">
      <c r="A117" s="17">
        <v>45773</v>
      </c>
      <c r="B117" s="13">
        <v>11298</v>
      </c>
      <c r="C117" s="13">
        <v>60</v>
      </c>
      <c r="D117" s="79">
        <f t="shared" si="3"/>
        <v>6778.8</v>
      </c>
      <c r="E117" s="13">
        <v>3.6</v>
      </c>
      <c r="F117" s="79">
        <f t="shared" si="4"/>
        <v>406.72800000000001</v>
      </c>
      <c r="G117" s="13">
        <v>1998</v>
      </c>
      <c r="H117" s="13">
        <v>202</v>
      </c>
      <c r="I117" s="41">
        <f t="shared" si="5"/>
        <v>101.10110110110111</v>
      </c>
      <c r="J117" s="13">
        <v>3.42</v>
      </c>
      <c r="K117" s="36">
        <v>22</v>
      </c>
      <c r="L117" s="13">
        <v>0.82</v>
      </c>
      <c r="M117" s="14">
        <v>127</v>
      </c>
      <c r="N117" s="35">
        <v>12</v>
      </c>
      <c r="O117" s="14">
        <v>467</v>
      </c>
      <c r="P117" s="48">
        <v>33.299999999999997</v>
      </c>
      <c r="Q117" s="14">
        <v>252</v>
      </c>
      <c r="R117" s="8">
        <v>9.6999999999999993</v>
      </c>
      <c r="S117" s="13">
        <v>7.43</v>
      </c>
    </row>
    <row r="118" spans="1:19" x14ac:dyDescent="0.25">
      <c r="A118" s="17">
        <v>45774</v>
      </c>
      <c r="B118" s="13">
        <v>11296</v>
      </c>
      <c r="C118" s="13">
        <v>60</v>
      </c>
      <c r="D118" s="79">
        <f t="shared" si="3"/>
        <v>6777.6</v>
      </c>
      <c r="E118" s="13">
        <v>3.6</v>
      </c>
      <c r="F118" s="79">
        <f t="shared" si="4"/>
        <v>406.65600000000001</v>
      </c>
      <c r="G118" s="13">
        <v>1995</v>
      </c>
      <c r="H118" s="13">
        <v>208</v>
      </c>
      <c r="I118" s="41">
        <f t="shared" si="5"/>
        <v>104.26065162907268</v>
      </c>
      <c r="J118" s="13">
        <v>3.1</v>
      </c>
      <c r="K118" s="36">
        <v>24</v>
      </c>
      <c r="L118" s="13">
        <v>0.46</v>
      </c>
      <c r="M118" s="14">
        <v>157</v>
      </c>
      <c r="N118" s="35">
        <v>11</v>
      </c>
      <c r="O118" s="14">
        <v>470</v>
      </c>
      <c r="P118" s="47">
        <v>34</v>
      </c>
      <c r="Q118" s="14">
        <v>246</v>
      </c>
      <c r="R118" s="8">
        <v>8.1</v>
      </c>
      <c r="S118" s="13">
        <v>7.4</v>
      </c>
    </row>
    <row r="119" spans="1:19" x14ac:dyDescent="0.25">
      <c r="A119" s="17">
        <v>45775</v>
      </c>
      <c r="B119" s="13">
        <v>11641</v>
      </c>
      <c r="C119" s="13">
        <v>60</v>
      </c>
      <c r="D119" s="79">
        <f t="shared" si="3"/>
        <v>6984.6</v>
      </c>
      <c r="E119" s="13">
        <v>3.4</v>
      </c>
      <c r="F119" s="79">
        <f t="shared" si="4"/>
        <v>395.79400000000004</v>
      </c>
      <c r="G119" s="13">
        <v>2015</v>
      </c>
      <c r="H119" s="13">
        <v>191</v>
      </c>
      <c r="I119" s="41">
        <f t="shared" si="5"/>
        <v>94.789081885856078</v>
      </c>
      <c r="J119" s="13">
        <v>2.8</v>
      </c>
      <c r="K119" s="36">
        <v>23</v>
      </c>
      <c r="L119" s="13">
        <v>0.67</v>
      </c>
      <c r="M119" s="14">
        <v>157</v>
      </c>
      <c r="N119" s="35">
        <v>9</v>
      </c>
      <c r="O119" s="14">
        <v>492</v>
      </c>
      <c r="P119" s="48">
        <v>29.3</v>
      </c>
      <c r="Q119" s="14">
        <v>251</v>
      </c>
      <c r="R119" s="8">
        <v>8</v>
      </c>
      <c r="S119" s="13">
        <v>7.42</v>
      </c>
    </row>
    <row r="120" spans="1:19" x14ac:dyDescent="0.25">
      <c r="A120" s="17">
        <v>45776</v>
      </c>
      <c r="B120" s="13">
        <v>11540</v>
      </c>
      <c r="C120" s="13">
        <v>60</v>
      </c>
      <c r="D120" s="79">
        <f t="shared" si="3"/>
        <v>6924</v>
      </c>
      <c r="E120" s="13">
        <v>3.3</v>
      </c>
      <c r="F120" s="79">
        <f t="shared" si="4"/>
        <v>380.82</v>
      </c>
      <c r="G120" s="13">
        <v>2003</v>
      </c>
      <c r="H120" s="13">
        <v>201</v>
      </c>
      <c r="I120" s="41">
        <f t="shared" si="5"/>
        <v>100.34947578632053</v>
      </c>
      <c r="J120" s="13">
        <v>3.5</v>
      </c>
      <c r="K120" s="36">
        <v>22.6</v>
      </c>
      <c r="L120" s="13">
        <v>0.65</v>
      </c>
      <c r="M120" s="14">
        <v>180</v>
      </c>
      <c r="N120" s="35">
        <v>14</v>
      </c>
      <c r="O120" s="14">
        <v>487</v>
      </c>
      <c r="P120" s="47">
        <v>45</v>
      </c>
      <c r="Q120" s="14">
        <v>249</v>
      </c>
      <c r="R120" s="8">
        <v>11</v>
      </c>
      <c r="S120" s="13">
        <v>7.36</v>
      </c>
    </row>
    <row r="121" spans="1:19" x14ac:dyDescent="0.25">
      <c r="A121" s="17">
        <v>45777</v>
      </c>
      <c r="B121" s="13">
        <v>11557</v>
      </c>
      <c r="C121" s="13">
        <v>60</v>
      </c>
      <c r="D121" s="79">
        <f t="shared" si="3"/>
        <v>6934.2</v>
      </c>
      <c r="E121" s="13">
        <v>3.5</v>
      </c>
      <c r="F121" s="79">
        <f t="shared" si="4"/>
        <v>404.495</v>
      </c>
      <c r="G121" s="13">
        <v>2010</v>
      </c>
      <c r="H121" s="13">
        <v>208</v>
      </c>
      <c r="I121" s="41">
        <f t="shared" si="5"/>
        <v>103.48258706467662</v>
      </c>
      <c r="J121" s="13">
        <v>2.9</v>
      </c>
      <c r="K121" s="36">
        <v>23.6</v>
      </c>
      <c r="L121" s="13">
        <v>0.37</v>
      </c>
      <c r="M121" s="14">
        <v>143</v>
      </c>
      <c r="N121" s="35">
        <v>10.7</v>
      </c>
      <c r="O121" s="14">
        <v>493</v>
      </c>
      <c r="P121" s="48">
        <v>31.7</v>
      </c>
      <c r="Q121" s="14">
        <v>254</v>
      </c>
      <c r="R121" s="8">
        <v>8.5</v>
      </c>
      <c r="S121" s="13">
        <v>7.44</v>
      </c>
    </row>
    <row r="122" spans="1:19" x14ac:dyDescent="0.25">
      <c r="A122" s="17">
        <v>45778</v>
      </c>
      <c r="B122" s="13">
        <v>11182</v>
      </c>
      <c r="C122" s="13">
        <v>60</v>
      </c>
      <c r="D122" s="79">
        <f t="shared" si="3"/>
        <v>6709.2</v>
      </c>
      <c r="E122" s="13">
        <v>3.5</v>
      </c>
      <c r="F122" s="79">
        <f t="shared" si="4"/>
        <v>391.37</v>
      </c>
      <c r="G122" s="13">
        <v>1958</v>
      </c>
      <c r="H122" s="13">
        <v>207</v>
      </c>
      <c r="I122" s="41">
        <f t="shared" si="5"/>
        <v>105.72012257405515</v>
      </c>
      <c r="J122" s="13">
        <v>3.3</v>
      </c>
      <c r="K122" s="36">
        <v>25</v>
      </c>
      <c r="L122" s="13">
        <v>0.75</v>
      </c>
      <c r="M122" s="14">
        <v>150</v>
      </c>
      <c r="N122" s="35">
        <v>10.6</v>
      </c>
      <c r="O122" s="14">
        <v>483</v>
      </c>
      <c r="P122" s="48">
        <v>28.7</v>
      </c>
      <c r="Q122" s="14">
        <v>247</v>
      </c>
      <c r="R122" s="8">
        <v>8.3000000000000007</v>
      </c>
      <c r="S122" s="13">
        <v>7.4</v>
      </c>
    </row>
    <row r="123" spans="1:19" x14ac:dyDescent="0.25">
      <c r="A123" s="17">
        <v>45779</v>
      </c>
      <c r="B123" s="13">
        <v>11170</v>
      </c>
      <c r="C123" s="13">
        <v>60</v>
      </c>
      <c r="D123" s="79">
        <f t="shared" si="3"/>
        <v>6702</v>
      </c>
      <c r="E123" s="13">
        <v>3.5</v>
      </c>
      <c r="F123" s="79">
        <f t="shared" si="4"/>
        <v>390.95</v>
      </c>
      <c r="G123" s="13">
        <v>1952</v>
      </c>
      <c r="H123" s="13">
        <v>209</v>
      </c>
      <c r="I123" s="41">
        <f t="shared" si="5"/>
        <v>107.06967213114754</v>
      </c>
      <c r="J123" s="13">
        <v>3.1</v>
      </c>
      <c r="K123" s="36">
        <v>25.5</v>
      </c>
      <c r="L123" s="13">
        <v>0.61</v>
      </c>
      <c r="M123" s="14">
        <v>165</v>
      </c>
      <c r="N123" s="35">
        <v>11.8</v>
      </c>
      <c r="O123" s="14">
        <v>493</v>
      </c>
      <c r="P123" s="47">
        <v>35</v>
      </c>
      <c r="Q123" s="14">
        <v>250</v>
      </c>
      <c r="R123" s="8">
        <v>8.1999999999999993</v>
      </c>
      <c r="S123" s="13">
        <v>7.42</v>
      </c>
    </row>
    <row r="124" spans="1:19" x14ac:dyDescent="0.25">
      <c r="A124" s="17">
        <v>45780</v>
      </c>
      <c r="B124" s="13">
        <v>11644</v>
      </c>
      <c r="C124" s="13">
        <v>60</v>
      </c>
      <c r="D124" s="79">
        <f t="shared" si="3"/>
        <v>6986.4</v>
      </c>
      <c r="E124" s="13">
        <v>3.4</v>
      </c>
      <c r="F124" s="79">
        <f t="shared" si="4"/>
        <v>395.89599999999996</v>
      </c>
      <c r="G124" s="13">
        <v>1946</v>
      </c>
      <c r="H124" s="13">
        <v>215</v>
      </c>
      <c r="I124" s="41">
        <f t="shared" si="5"/>
        <v>110.4830421377184</v>
      </c>
      <c r="J124" s="13">
        <v>3.44</v>
      </c>
      <c r="K124" s="36">
        <v>26.7</v>
      </c>
      <c r="L124" s="13">
        <v>0.76</v>
      </c>
      <c r="M124" s="14">
        <v>144</v>
      </c>
      <c r="N124" s="35">
        <v>12.2</v>
      </c>
      <c r="O124" s="14">
        <v>483</v>
      </c>
      <c r="P124" s="48">
        <v>36.4</v>
      </c>
      <c r="Q124" s="14">
        <v>253</v>
      </c>
      <c r="R124" s="8">
        <v>10.6</v>
      </c>
      <c r="S124" s="13">
        <v>7.38</v>
      </c>
    </row>
    <row r="125" spans="1:19" x14ac:dyDescent="0.25">
      <c r="A125" s="17">
        <v>45781</v>
      </c>
      <c r="B125" s="13">
        <v>11707</v>
      </c>
      <c r="C125" s="13">
        <v>60</v>
      </c>
      <c r="D125" s="79">
        <f t="shared" si="3"/>
        <v>7024.2</v>
      </c>
      <c r="E125" s="13">
        <v>3.4</v>
      </c>
      <c r="F125" s="79">
        <f t="shared" si="4"/>
        <v>398.03799999999995</v>
      </c>
      <c r="G125" s="13">
        <v>1945</v>
      </c>
      <c r="H125" s="13">
        <v>186</v>
      </c>
      <c r="I125" s="41">
        <f t="shared" si="5"/>
        <v>95.629820051413887</v>
      </c>
      <c r="J125" s="13">
        <v>2.8</v>
      </c>
      <c r="K125" s="36">
        <v>26</v>
      </c>
      <c r="L125" s="13">
        <v>0.6</v>
      </c>
      <c r="M125" s="14">
        <v>135</v>
      </c>
      <c r="N125" s="35">
        <v>9.8000000000000007</v>
      </c>
      <c r="O125" s="14">
        <v>474</v>
      </c>
      <c r="P125" s="48">
        <v>35.6</v>
      </c>
      <c r="Q125" s="14">
        <v>245</v>
      </c>
      <c r="R125" s="8">
        <v>7</v>
      </c>
      <c r="S125" s="13">
        <v>8</v>
      </c>
    </row>
    <row r="126" spans="1:19" x14ac:dyDescent="0.25">
      <c r="A126" s="17">
        <v>45782</v>
      </c>
      <c r="B126" s="13">
        <v>11686</v>
      </c>
      <c r="C126" s="13">
        <v>60</v>
      </c>
      <c r="D126" s="79">
        <f t="shared" si="3"/>
        <v>7011.6</v>
      </c>
      <c r="E126" s="13">
        <v>3.6</v>
      </c>
      <c r="F126" s="79">
        <f t="shared" si="4"/>
        <v>420.69599999999997</v>
      </c>
      <c r="G126" s="13">
        <v>1970</v>
      </c>
      <c r="H126" s="13">
        <v>195</v>
      </c>
      <c r="I126" s="41">
        <f t="shared" si="5"/>
        <v>98.984771573604064</v>
      </c>
      <c r="J126" s="13">
        <v>3.3</v>
      </c>
      <c r="K126" s="36">
        <v>26</v>
      </c>
      <c r="L126" s="13">
        <v>0.27</v>
      </c>
      <c r="M126" s="14">
        <v>125</v>
      </c>
      <c r="N126" s="35">
        <v>10</v>
      </c>
      <c r="O126" s="14">
        <v>467</v>
      </c>
      <c r="P126" s="47">
        <v>34</v>
      </c>
      <c r="Q126" s="14">
        <v>251</v>
      </c>
      <c r="R126" s="8">
        <v>8</v>
      </c>
      <c r="S126" s="13">
        <v>7.94</v>
      </c>
    </row>
    <row r="127" spans="1:19" x14ac:dyDescent="0.25">
      <c r="A127" s="17">
        <v>45783</v>
      </c>
      <c r="B127" s="13">
        <v>11557</v>
      </c>
      <c r="C127" s="13">
        <v>60</v>
      </c>
      <c r="D127" s="79">
        <f t="shared" si="3"/>
        <v>6934.2</v>
      </c>
      <c r="E127" s="13">
        <v>3.5</v>
      </c>
      <c r="F127" s="79">
        <f t="shared" si="4"/>
        <v>404.495</v>
      </c>
      <c r="G127" s="13">
        <v>1981</v>
      </c>
      <c r="H127" s="13">
        <v>200</v>
      </c>
      <c r="I127" s="41">
        <f t="shared" si="5"/>
        <v>100.95911155981827</v>
      </c>
      <c r="J127" s="13">
        <v>2.95</v>
      </c>
      <c r="K127" s="36">
        <v>25.8</v>
      </c>
      <c r="L127" s="13">
        <v>0.47</v>
      </c>
      <c r="M127" s="14">
        <v>140</v>
      </c>
      <c r="N127" s="35">
        <v>10.7</v>
      </c>
      <c r="O127" s="14">
        <v>478</v>
      </c>
      <c r="P127" s="47">
        <v>34</v>
      </c>
      <c r="Q127" s="14">
        <v>248</v>
      </c>
      <c r="R127" s="8">
        <v>8.1999999999999993</v>
      </c>
      <c r="S127" s="13">
        <v>8.0500000000000007</v>
      </c>
    </row>
    <row r="128" spans="1:19" x14ac:dyDescent="0.25">
      <c r="A128" s="17">
        <v>45784</v>
      </c>
      <c r="B128" s="13">
        <v>11582</v>
      </c>
      <c r="C128" s="13">
        <v>60</v>
      </c>
      <c r="D128" s="79">
        <f t="shared" si="3"/>
        <v>6949.2</v>
      </c>
      <c r="E128" s="13">
        <v>3.5</v>
      </c>
      <c r="F128" s="79">
        <f t="shared" si="4"/>
        <v>405.37</v>
      </c>
      <c r="G128" s="13">
        <v>1948</v>
      </c>
      <c r="H128" s="13">
        <v>208</v>
      </c>
      <c r="I128" s="41">
        <f t="shared" si="5"/>
        <v>106.77618069815195</v>
      </c>
      <c r="J128" s="13">
        <v>3.4</v>
      </c>
      <c r="K128" s="36">
        <v>25</v>
      </c>
      <c r="L128" s="13">
        <v>0.28000000000000003</v>
      </c>
      <c r="M128" s="14">
        <v>155</v>
      </c>
      <c r="N128" s="35">
        <v>11.4</v>
      </c>
      <c r="O128" s="14">
        <v>489</v>
      </c>
      <c r="P128" s="47">
        <v>39</v>
      </c>
      <c r="Q128" s="14">
        <v>252</v>
      </c>
      <c r="R128" s="8">
        <v>9.3000000000000007</v>
      </c>
      <c r="S128" s="13">
        <v>8</v>
      </c>
    </row>
    <row r="129" spans="1:19" x14ac:dyDescent="0.25">
      <c r="A129" s="17">
        <v>45785</v>
      </c>
      <c r="B129" s="13">
        <v>11770</v>
      </c>
      <c r="C129" s="13">
        <v>60</v>
      </c>
      <c r="D129" s="79">
        <f t="shared" si="3"/>
        <v>7062</v>
      </c>
      <c r="E129" s="13">
        <v>3.4</v>
      </c>
      <c r="F129" s="79">
        <f t="shared" si="4"/>
        <v>400.18</v>
      </c>
      <c r="G129" s="13">
        <v>1974</v>
      </c>
      <c r="H129" s="13">
        <v>219</v>
      </c>
      <c r="I129" s="41">
        <f t="shared" si="5"/>
        <v>110.94224924012158</v>
      </c>
      <c r="J129" s="13">
        <v>3</v>
      </c>
      <c r="K129" s="36">
        <v>26.5</v>
      </c>
      <c r="L129" s="13">
        <v>0.86</v>
      </c>
      <c r="M129" s="14">
        <v>184</v>
      </c>
      <c r="N129" s="35">
        <v>13</v>
      </c>
      <c r="O129" s="14">
        <v>400</v>
      </c>
      <c r="P129" s="47">
        <v>33</v>
      </c>
      <c r="Q129" s="14">
        <v>246</v>
      </c>
      <c r="R129" s="8">
        <v>9.5</v>
      </c>
      <c r="S129" s="13">
        <v>8.0299999999999994</v>
      </c>
    </row>
    <row r="130" spans="1:19" x14ac:dyDescent="0.25">
      <c r="A130" s="17">
        <v>45786</v>
      </c>
      <c r="B130" s="13">
        <v>11808</v>
      </c>
      <c r="C130" s="13">
        <v>60</v>
      </c>
      <c r="D130" s="79">
        <f t="shared" ref="D130:D193" si="6">(C130*B130)/100</f>
        <v>7084.8</v>
      </c>
      <c r="E130" s="13">
        <v>3.4</v>
      </c>
      <c r="F130" s="79">
        <f t="shared" ref="F130:F191" si="7">(E130*B130)/100</f>
        <v>401.47199999999998</v>
      </c>
      <c r="G130" s="13">
        <v>1979</v>
      </c>
      <c r="H130" s="13">
        <v>200</v>
      </c>
      <c r="I130" s="41">
        <f t="shared" si="5"/>
        <v>101.0611419909045</v>
      </c>
      <c r="J130" s="13">
        <v>1</v>
      </c>
      <c r="K130" s="36">
        <v>25</v>
      </c>
      <c r="L130" s="13">
        <v>0.81</v>
      </c>
      <c r="M130" s="14">
        <v>183</v>
      </c>
      <c r="N130" s="35">
        <v>10.4</v>
      </c>
      <c r="O130" s="14">
        <v>308</v>
      </c>
      <c r="P130" s="48">
        <v>29.7</v>
      </c>
      <c r="Q130" s="14">
        <v>254</v>
      </c>
      <c r="R130" s="8">
        <v>8.9</v>
      </c>
      <c r="S130" s="13">
        <v>7.96</v>
      </c>
    </row>
    <row r="131" spans="1:19" x14ac:dyDescent="0.25">
      <c r="A131" s="17">
        <v>45787</v>
      </c>
      <c r="B131" s="13">
        <v>11432</v>
      </c>
      <c r="C131" s="13">
        <v>60</v>
      </c>
      <c r="D131" s="79">
        <f t="shared" si="6"/>
        <v>6859.2</v>
      </c>
      <c r="E131" s="13">
        <v>3.6</v>
      </c>
      <c r="F131" s="79">
        <f t="shared" si="7"/>
        <v>411.55200000000002</v>
      </c>
      <c r="G131" s="13">
        <v>1967</v>
      </c>
      <c r="H131" s="13">
        <v>217</v>
      </c>
      <c r="I131" s="41">
        <f t="shared" ref="I131:I194" si="8">(H131*1000)/G131</f>
        <v>110.3202846975089</v>
      </c>
      <c r="J131" s="13">
        <v>2.9</v>
      </c>
      <c r="K131" s="36">
        <v>26.8</v>
      </c>
      <c r="L131" s="13">
        <v>0.79</v>
      </c>
      <c r="M131" s="14">
        <v>168</v>
      </c>
      <c r="N131" s="35">
        <v>12.2</v>
      </c>
      <c r="O131" s="14">
        <v>466</v>
      </c>
      <c r="P131" s="47">
        <v>32</v>
      </c>
      <c r="Q131" s="14">
        <v>250</v>
      </c>
      <c r="R131" s="8">
        <v>9</v>
      </c>
      <c r="S131" s="13">
        <v>8.06</v>
      </c>
    </row>
    <row r="132" spans="1:19" x14ac:dyDescent="0.25">
      <c r="A132" s="17">
        <v>45788</v>
      </c>
      <c r="B132" s="13">
        <v>11449</v>
      </c>
      <c r="C132" s="13">
        <v>60</v>
      </c>
      <c r="D132" s="79">
        <f t="shared" si="6"/>
        <v>6869.4</v>
      </c>
      <c r="E132" s="13">
        <v>3.5</v>
      </c>
      <c r="F132" s="79">
        <f t="shared" si="7"/>
        <v>400.71499999999997</v>
      </c>
      <c r="G132" s="13">
        <v>1954</v>
      </c>
      <c r="H132" s="13">
        <v>221</v>
      </c>
      <c r="I132" s="41">
        <f t="shared" si="8"/>
        <v>113.10133060388945</v>
      </c>
      <c r="J132" s="13">
        <v>3.2</v>
      </c>
      <c r="K132" s="36">
        <v>27</v>
      </c>
      <c r="L132" s="13">
        <v>0.46</v>
      </c>
      <c r="M132" s="14">
        <v>169</v>
      </c>
      <c r="N132" s="35">
        <v>13</v>
      </c>
      <c r="O132" s="14">
        <v>477</v>
      </c>
      <c r="P132" s="48">
        <v>35.799999999999997</v>
      </c>
      <c r="Q132" s="14">
        <v>247</v>
      </c>
      <c r="R132" s="8">
        <v>9</v>
      </c>
      <c r="S132" s="13">
        <v>8</v>
      </c>
    </row>
    <row r="133" spans="1:19" x14ac:dyDescent="0.25">
      <c r="A133" s="17">
        <v>45789</v>
      </c>
      <c r="B133" s="13">
        <v>11279</v>
      </c>
      <c r="C133" s="13">
        <v>60</v>
      </c>
      <c r="D133" s="79">
        <f t="shared" si="6"/>
        <v>6767.4</v>
      </c>
      <c r="E133" s="13">
        <v>3.6</v>
      </c>
      <c r="F133" s="79">
        <f t="shared" si="7"/>
        <v>406.04400000000004</v>
      </c>
      <c r="G133" s="13">
        <v>1956</v>
      </c>
      <c r="H133" s="13">
        <v>203</v>
      </c>
      <c r="I133" s="41">
        <f t="shared" si="8"/>
        <v>103.78323108384458</v>
      </c>
      <c r="J133" s="13">
        <v>3.1</v>
      </c>
      <c r="K133" s="36">
        <v>26</v>
      </c>
      <c r="L133" s="13">
        <v>0.31</v>
      </c>
      <c r="M133" s="14">
        <v>162</v>
      </c>
      <c r="N133" s="35">
        <v>13.4</v>
      </c>
      <c r="O133" s="14">
        <v>400</v>
      </c>
      <c r="P133" s="47">
        <v>33</v>
      </c>
      <c r="Q133" s="14">
        <v>253</v>
      </c>
      <c r="R133" s="8">
        <v>8.3000000000000007</v>
      </c>
      <c r="S133" s="13">
        <v>8.02</v>
      </c>
    </row>
    <row r="134" spans="1:19" x14ac:dyDescent="0.25">
      <c r="A134" s="17">
        <v>45790</v>
      </c>
      <c r="B134" s="13">
        <v>11349</v>
      </c>
      <c r="C134" s="13">
        <v>60</v>
      </c>
      <c r="D134" s="79">
        <f t="shared" si="6"/>
        <v>6809.4</v>
      </c>
      <c r="E134" s="13">
        <v>3.6</v>
      </c>
      <c r="F134" s="79">
        <f t="shared" si="7"/>
        <v>408.56400000000002</v>
      </c>
      <c r="G134" s="13">
        <v>1967</v>
      </c>
      <c r="H134" s="13">
        <v>218</v>
      </c>
      <c r="I134" s="41">
        <f t="shared" si="8"/>
        <v>110.82867310625318</v>
      </c>
      <c r="J134" s="13">
        <v>3.42</v>
      </c>
      <c r="K134" s="36">
        <v>27</v>
      </c>
      <c r="L134" s="13">
        <v>0.82</v>
      </c>
      <c r="M134" s="14">
        <v>168</v>
      </c>
      <c r="N134" s="35">
        <v>16</v>
      </c>
      <c r="O134" s="14">
        <v>543</v>
      </c>
      <c r="P134" s="47">
        <v>45</v>
      </c>
      <c r="Q134" s="14">
        <v>270</v>
      </c>
      <c r="R134" s="8">
        <v>10.4</v>
      </c>
      <c r="S134" s="13">
        <v>7.97</v>
      </c>
    </row>
    <row r="135" spans="1:19" x14ac:dyDescent="0.25">
      <c r="A135" s="17">
        <v>45791</v>
      </c>
      <c r="B135" s="13">
        <v>11546</v>
      </c>
      <c r="C135" s="13">
        <v>60</v>
      </c>
      <c r="D135" s="79">
        <f t="shared" si="6"/>
        <v>6927.6</v>
      </c>
      <c r="E135" s="13">
        <v>3.4</v>
      </c>
      <c r="F135" s="79">
        <f t="shared" si="7"/>
        <v>392.56400000000002</v>
      </c>
      <c r="G135" s="13">
        <v>1955</v>
      </c>
      <c r="H135" s="13">
        <v>206</v>
      </c>
      <c r="I135" s="41">
        <f t="shared" si="8"/>
        <v>105.37084398976982</v>
      </c>
      <c r="J135" s="13">
        <v>3.5</v>
      </c>
      <c r="K135" s="36">
        <v>27</v>
      </c>
      <c r="L135" s="13">
        <v>0.87</v>
      </c>
      <c r="M135" s="14">
        <v>170</v>
      </c>
      <c r="N135" s="35">
        <v>12.2</v>
      </c>
      <c r="O135" s="14">
        <v>453</v>
      </c>
      <c r="P135" s="47">
        <v>35</v>
      </c>
      <c r="Q135" s="14">
        <v>248</v>
      </c>
      <c r="R135" s="8">
        <v>9</v>
      </c>
      <c r="S135" s="13">
        <v>8.0399999999999991</v>
      </c>
    </row>
    <row r="136" spans="1:19" x14ac:dyDescent="0.25">
      <c r="A136" s="17">
        <v>45792</v>
      </c>
      <c r="B136" s="13">
        <v>11770</v>
      </c>
      <c r="C136" s="13">
        <v>60</v>
      </c>
      <c r="D136" s="79">
        <f t="shared" si="6"/>
        <v>7062</v>
      </c>
      <c r="E136" s="13">
        <v>3.3</v>
      </c>
      <c r="F136" s="79">
        <f t="shared" si="7"/>
        <v>388.41</v>
      </c>
      <c r="G136" s="13">
        <v>1964</v>
      </c>
      <c r="H136" s="13">
        <v>211</v>
      </c>
      <c r="I136" s="41">
        <f t="shared" si="8"/>
        <v>107.43380855397149</v>
      </c>
      <c r="J136" s="13">
        <v>3.1</v>
      </c>
      <c r="K136" s="36">
        <v>27.3</v>
      </c>
      <c r="L136" s="13">
        <v>0.32</v>
      </c>
      <c r="M136" s="14">
        <v>172</v>
      </c>
      <c r="N136" s="35">
        <v>11.7</v>
      </c>
      <c r="O136" s="14">
        <v>322</v>
      </c>
      <c r="P136" s="48">
        <v>29.3</v>
      </c>
      <c r="Q136" s="14">
        <v>252</v>
      </c>
      <c r="R136" s="8">
        <v>10</v>
      </c>
      <c r="S136" s="13">
        <v>8</v>
      </c>
    </row>
    <row r="137" spans="1:19" x14ac:dyDescent="0.25">
      <c r="A137" s="17">
        <v>45793</v>
      </c>
      <c r="B137" s="13">
        <v>11645</v>
      </c>
      <c r="C137" s="13">
        <v>60</v>
      </c>
      <c r="D137" s="79">
        <f t="shared" si="6"/>
        <v>6987</v>
      </c>
      <c r="E137" s="13">
        <v>3.5</v>
      </c>
      <c r="F137" s="79">
        <f t="shared" si="7"/>
        <v>407.57499999999999</v>
      </c>
      <c r="G137" s="13">
        <v>1950</v>
      </c>
      <c r="H137" s="13">
        <v>192</v>
      </c>
      <c r="I137" s="41">
        <f t="shared" si="8"/>
        <v>98.461538461538467</v>
      </c>
      <c r="J137" s="13">
        <v>3.45</v>
      </c>
      <c r="K137" s="36">
        <v>26.5</v>
      </c>
      <c r="L137" s="13">
        <v>0.57999999999999996</v>
      </c>
      <c r="M137" s="14">
        <v>159</v>
      </c>
      <c r="N137" s="35">
        <v>10</v>
      </c>
      <c r="O137" s="14">
        <v>331</v>
      </c>
      <c r="P137" s="47">
        <v>28</v>
      </c>
      <c r="Q137" s="14">
        <v>189</v>
      </c>
      <c r="R137" s="8">
        <v>7</v>
      </c>
      <c r="S137" s="13">
        <v>8.0399999999999991</v>
      </c>
    </row>
    <row r="138" spans="1:19" x14ac:dyDescent="0.25">
      <c r="A138" s="17">
        <v>45794</v>
      </c>
      <c r="B138" s="13">
        <v>11918</v>
      </c>
      <c r="C138" s="13">
        <v>60</v>
      </c>
      <c r="D138" s="79">
        <f t="shared" si="6"/>
        <v>7150.8</v>
      </c>
      <c r="E138" s="13">
        <v>3.5</v>
      </c>
      <c r="F138" s="79">
        <f t="shared" si="7"/>
        <v>417.13</v>
      </c>
      <c r="G138" s="13">
        <v>1963</v>
      </c>
      <c r="H138" s="13">
        <v>200</v>
      </c>
      <c r="I138" s="41">
        <f t="shared" si="8"/>
        <v>101.88487009679062</v>
      </c>
      <c r="J138" s="13">
        <v>3</v>
      </c>
      <c r="K138" s="36">
        <v>25</v>
      </c>
      <c r="L138" s="13">
        <v>0.31</v>
      </c>
      <c r="M138" s="14">
        <v>160</v>
      </c>
      <c r="N138" s="35">
        <v>11.3</v>
      </c>
      <c r="O138" s="14">
        <v>543</v>
      </c>
      <c r="P138" s="47">
        <v>35</v>
      </c>
      <c r="Q138" s="14">
        <v>250</v>
      </c>
      <c r="R138" s="8">
        <v>9</v>
      </c>
      <c r="S138" s="13">
        <v>7.95</v>
      </c>
    </row>
    <row r="139" spans="1:19" x14ac:dyDescent="0.25">
      <c r="A139" s="17">
        <v>45795</v>
      </c>
      <c r="B139" s="13">
        <v>11546</v>
      </c>
      <c r="C139" s="13">
        <v>60</v>
      </c>
      <c r="D139" s="79">
        <f t="shared" si="6"/>
        <v>6927.6</v>
      </c>
      <c r="E139" s="13">
        <v>3.5</v>
      </c>
      <c r="F139" s="79">
        <f t="shared" si="7"/>
        <v>404.11</v>
      </c>
      <c r="G139" s="13">
        <v>1979</v>
      </c>
      <c r="H139" s="13">
        <v>198</v>
      </c>
      <c r="I139" s="41">
        <f t="shared" si="8"/>
        <v>100.05053057099545</v>
      </c>
      <c r="J139" s="13">
        <v>2.9</v>
      </c>
      <c r="K139" s="36">
        <v>25.6</v>
      </c>
      <c r="L139" s="13">
        <v>0.71</v>
      </c>
      <c r="M139" s="14">
        <v>144</v>
      </c>
      <c r="N139" s="35">
        <v>11.3</v>
      </c>
      <c r="O139" s="14">
        <v>522</v>
      </c>
      <c r="P139" s="47">
        <v>37</v>
      </c>
      <c r="Q139" s="14">
        <v>254</v>
      </c>
      <c r="R139" s="8">
        <v>8.5</v>
      </c>
      <c r="S139" s="13">
        <v>8.0500000000000007</v>
      </c>
    </row>
    <row r="140" spans="1:19" x14ac:dyDescent="0.25">
      <c r="A140" s="17">
        <v>45796</v>
      </c>
      <c r="B140" s="13">
        <v>11561</v>
      </c>
      <c r="C140" s="13">
        <v>60</v>
      </c>
      <c r="D140" s="79">
        <f t="shared" si="6"/>
        <v>6936.6</v>
      </c>
      <c r="E140" s="13">
        <v>3.4</v>
      </c>
      <c r="F140" s="79">
        <f t="shared" si="7"/>
        <v>393.07400000000001</v>
      </c>
      <c r="G140" s="13">
        <v>1982</v>
      </c>
      <c r="H140" s="13">
        <v>197</v>
      </c>
      <c r="I140" s="41">
        <f t="shared" si="8"/>
        <v>99.394550958627647</v>
      </c>
      <c r="J140" s="13">
        <v>3.42</v>
      </c>
      <c r="K140" s="36">
        <v>26</v>
      </c>
      <c r="L140" s="13">
        <v>0.75</v>
      </c>
      <c r="M140" s="14">
        <v>145</v>
      </c>
      <c r="N140" s="35">
        <v>11.3</v>
      </c>
      <c r="O140" s="14">
        <v>488</v>
      </c>
      <c r="P140" s="48">
        <v>40.9</v>
      </c>
      <c r="Q140" s="14">
        <v>249</v>
      </c>
      <c r="R140" s="8">
        <v>8</v>
      </c>
      <c r="S140" s="13">
        <v>8</v>
      </c>
    </row>
    <row r="141" spans="1:19" x14ac:dyDescent="0.25">
      <c r="A141" s="17">
        <v>45797</v>
      </c>
      <c r="B141" s="13">
        <v>11432</v>
      </c>
      <c r="C141" s="13">
        <v>60</v>
      </c>
      <c r="D141" s="79">
        <f t="shared" si="6"/>
        <v>6859.2</v>
      </c>
      <c r="E141" s="13">
        <v>3.4</v>
      </c>
      <c r="F141" s="79">
        <f t="shared" si="7"/>
        <v>388.68799999999993</v>
      </c>
      <c r="G141" s="13">
        <v>1978</v>
      </c>
      <c r="H141" s="13">
        <v>203</v>
      </c>
      <c r="I141" s="41">
        <f t="shared" si="8"/>
        <v>102.62891809908999</v>
      </c>
      <c r="J141" s="13">
        <v>3.1</v>
      </c>
      <c r="K141" s="36">
        <v>26</v>
      </c>
      <c r="L141" s="13">
        <v>0.35</v>
      </c>
      <c r="M141" s="14">
        <v>168</v>
      </c>
      <c r="N141" s="35">
        <v>11.5</v>
      </c>
      <c r="O141" s="14">
        <v>500</v>
      </c>
      <c r="P141" s="48">
        <v>44.6</v>
      </c>
      <c r="Q141" s="14">
        <v>251</v>
      </c>
      <c r="R141" s="8">
        <v>8</v>
      </c>
      <c r="S141" s="13">
        <v>8.02</v>
      </c>
    </row>
    <row r="142" spans="1:19" x14ac:dyDescent="0.25">
      <c r="A142" s="17">
        <v>45798</v>
      </c>
      <c r="B142" s="13">
        <v>11487</v>
      </c>
      <c r="C142" s="13">
        <v>60</v>
      </c>
      <c r="D142" s="79">
        <f t="shared" si="6"/>
        <v>6892.2</v>
      </c>
      <c r="E142" s="13">
        <v>3.6</v>
      </c>
      <c r="F142" s="79">
        <f t="shared" si="7"/>
        <v>413.53200000000004</v>
      </c>
      <c r="G142" s="13">
        <v>1971</v>
      </c>
      <c r="H142" s="13">
        <v>224</v>
      </c>
      <c r="I142" s="41">
        <f t="shared" si="8"/>
        <v>113.64789446981227</v>
      </c>
      <c r="J142" s="13">
        <v>1</v>
      </c>
      <c r="K142" s="36">
        <v>26</v>
      </c>
      <c r="L142" s="13">
        <v>0.56999999999999995</v>
      </c>
      <c r="M142" s="14">
        <v>167</v>
      </c>
      <c r="N142" s="35">
        <v>10.8</v>
      </c>
      <c r="O142" s="14">
        <v>422</v>
      </c>
      <c r="P142" s="47">
        <v>34</v>
      </c>
      <c r="Q142" s="14">
        <v>247</v>
      </c>
      <c r="R142" s="8">
        <v>8</v>
      </c>
      <c r="S142" s="13">
        <v>7.6</v>
      </c>
    </row>
    <row r="143" spans="1:19" x14ac:dyDescent="0.25">
      <c r="A143" s="17">
        <v>45799</v>
      </c>
      <c r="B143" s="13">
        <v>11332</v>
      </c>
      <c r="C143" s="13">
        <v>60</v>
      </c>
      <c r="D143" s="79">
        <f t="shared" si="6"/>
        <v>6799.2</v>
      </c>
      <c r="E143" s="13">
        <v>3.6</v>
      </c>
      <c r="F143" s="79">
        <f t="shared" si="7"/>
        <v>407.95200000000006</v>
      </c>
      <c r="G143" s="13">
        <v>1978</v>
      </c>
      <c r="H143" s="13">
        <v>191</v>
      </c>
      <c r="I143" s="41">
        <f t="shared" si="8"/>
        <v>96.562184024266941</v>
      </c>
      <c r="J143" s="13">
        <v>3.5</v>
      </c>
      <c r="K143" s="36">
        <v>27.4</v>
      </c>
      <c r="L143" s="13">
        <v>0.62</v>
      </c>
      <c r="M143" s="14">
        <v>153</v>
      </c>
      <c r="N143" s="35">
        <v>12.2</v>
      </c>
      <c r="O143" s="14">
        <v>460</v>
      </c>
      <c r="P143" s="47">
        <v>32</v>
      </c>
      <c r="Q143" s="14">
        <v>253</v>
      </c>
      <c r="R143" s="8">
        <v>8</v>
      </c>
      <c r="S143" s="13">
        <v>7.55</v>
      </c>
    </row>
    <row r="144" spans="1:19" x14ac:dyDescent="0.25">
      <c r="A144" s="17">
        <v>45800</v>
      </c>
      <c r="B144" s="13">
        <v>11296</v>
      </c>
      <c r="C144" s="13">
        <v>60</v>
      </c>
      <c r="D144" s="79">
        <f t="shared" si="6"/>
        <v>6777.6</v>
      </c>
      <c r="E144" s="13">
        <v>3.4</v>
      </c>
      <c r="F144" s="79">
        <f t="shared" si="7"/>
        <v>384.06400000000002</v>
      </c>
      <c r="G144" s="13">
        <v>1948</v>
      </c>
      <c r="H144" s="13">
        <v>194</v>
      </c>
      <c r="I144" s="41">
        <f t="shared" si="8"/>
        <v>99.589322381930188</v>
      </c>
      <c r="J144" s="13">
        <v>2.9</v>
      </c>
      <c r="K144" s="36">
        <v>26.5</v>
      </c>
      <c r="L144" s="13">
        <v>0.44</v>
      </c>
      <c r="M144" s="14">
        <v>168</v>
      </c>
      <c r="N144" s="35">
        <v>11.7</v>
      </c>
      <c r="O144" s="14">
        <v>305</v>
      </c>
      <c r="P144" s="47">
        <v>27</v>
      </c>
      <c r="Q144" s="14">
        <v>248</v>
      </c>
      <c r="R144" s="8">
        <v>7</v>
      </c>
      <c r="S144" s="13">
        <v>7.64</v>
      </c>
    </row>
    <row r="145" spans="1:19" x14ac:dyDescent="0.25">
      <c r="A145" s="17">
        <v>45801</v>
      </c>
      <c r="B145" s="13">
        <v>11685</v>
      </c>
      <c r="C145" s="13">
        <v>60</v>
      </c>
      <c r="D145" s="79">
        <f t="shared" si="6"/>
        <v>7011</v>
      </c>
      <c r="E145" s="13">
        <v>3.3</v>
      </c>
      <c r="F145" s="79">
        <f t="shared" si="7"/>
        <v>385.60500000000002</v>
      </c>
      <c r="G145" s="13">
        <v>1970</v>
      </c>
      <c r="H145" s="13">
        <v>189</v>
      </c>
      <c r="I145" s="41">
        <f t="shared" si="8"/>
        <v>95.939086294416242</v>
      </c>
      <c r="J145" s="13">
        <v>3.3</v>
      </c>
      <c r="K145" s="36">
        <v>26</v>
      </c>
      <c r="L145" s="13">
        <v>0.82</v>
      </c>
      <c r="M145" s="14">
        <v>164</v>
      </c>
      <c r="N145" s="35">
        <v>11.1</v>
      </c>
      <c r="O145" s="14">
        <v>470</v>
      </c>
      <c r="P145" s="47">
        <v>34</v>
      </c>
      <c r="Q145" s="14">
        <v>252</v>
      </c>
      <c r="R145" s="8">
        <v>10.1</v>
      </c>
      <c r="S145" s="13">
        <v>7.6</v>
      </c>
    </row>
    <row r="146" spans="1:19" x14ac:dyDescent="0.25">
      <c r="A146" s="17">
        <v>45802</v>
      </c>
      <c r="B146" s="13">
        <v>11696</v>
      </c>
      <c r="C146" s="13">
        <v>60</v>
      </c>
      <c r="D146" s="79">
        <f t="shared" si="6"/>
        <v>7017.6</v>
      </c>
      <c r="E146" s="13">
        <v>3.5</v>
      </c>
      <c r="F146" s="79">
        <f t="shared" si="7"/>
        <v>409.36</v>
      </c>
      <c r="G146" s="13">
        <v>1952</v>
      </c>
      <c r="H146" s="13">
        <v>209</v>
      </c>
      <c r="I146" s="41">
        <f t="shared" si="8"/>
        <v>107.06967213114754</v>
      </c>
      <c r="J146" s="13">
        <v>3.1</v>
      </c>
      <c r="K146" s="36">
        <v>27</v>
      </c>
      <c r="L146" s="13">
        <v>0.54</v>
      </c>
      <c r="M146" s="14">
        <v>164</v>
      </c>
      <c r="N146" s="35">
        <v>11.5</v>
      </c>
      <c r="O146" s="14">
        <v>358</v>
      </c>
      <c r="P146" s="47">
        <v>31</v>
      </c>
      <c r="Q146" s="14">
        <v>246</v>
      </c>
      <c r="R146" s="8">
        <v>7</v>
      </c>
      <c r="S146" s="13">
        <v>7.62</v>
      </c>
    </row>
    <row r="147" spans="1:19" x14ac:dyDescent="0.25">
      <c r="A147" s="17">
        <v>45803</v>
      </c>
      <c r="B147" s="13">
        <v>11378</v>
      </c>
      <c r="C147" s="13">
        <v>60</v>
      </c>
      <c r="D147" s="79">
        <f t="shared" si="6"/>
        <v>6826.8</v>
      </c>
      <c r="E147" s="13">
        <v>3.4</v>
      </c>
      <c r="F147" s="79">
        <f t="shared" si="7"/>
        <v>386.85199999999998</v>
      </c>
      <c r="G147" s="13">
        <v>1969</v>
      </c>
      <c r="H147" s="13">
        <v>193</v>
      </c>
      <c r="I147" s="41">
        <f t="shared" si="8"/>
        <v>98.019299136617576</v>
      </c>
      <c r="J147" s="13">
        <v>3.44</v>
      </c>
      <c r="K147" s="36">
        <v>25</v>
      </c>
      <c r="L147" s="13">
        <v>0.4</v>
      </c>
      <c r="M147" s="14">
        <v>144</v>
      </c>
      <c r="N147" s="35">
        <v>11.6</v>
      </c>
      <c r="O147" s="14">
        <v>343</v>
      </c>
      <c r="P147" s="48">
        <v>32.9</v>
      </c>
      <c r="Q147" s="14">
        <v>251</v>
      </c>
      <c r="R147" s="8">
        <v>9</v>
      </c>
      <c r="S147" s="13">
        <v>7.57</v>
      </c>
    </row>
    <row r="148" spans="1:19" x14ac:dyDescent="0.25">
      <c r="A148" s="17">
        <v>45804</v>
      </c>
      <c r="B148" s="13">
        <v>11168</v>
      </c>
      <c r="C148" s="13">
        <v>60</v>
      </c>
      <c r="D148" s="79">
        <f t="shared" si="6"/>
        <v>6700.8</v>
      </c>
      <c r="E148" s="13">
        <v>3.4</v>
      </c>
      <c r="F148" s="79">
        <f t="shared" si="7"/>
        <v>379.71199999999999</v>
      </c>
      <c r="G148" s="13">
        <v>1955</v>
      </c>
      <c r="H148" s="13">
        <v>219</v>
      </c>
      <c r="I148" s="41">
        <f t="shared" si="8"/>
        <v>112.02046035805627</v>
      </c>
      <c r="J148" s="13">
        <v>1</v>
      </c>
      <c r="K148" s="36">
        <v>27.5</v>
      </c>
      <c r="L148" s="13">
        <v>0.61</v>
      </c>
      <c r="M148" s="14">
        <v>153</v>
      </c>
      <c r="N148" s="35">
        <v>15.5</v>
      </c>
      <c r="O148" s="14">
        <v>480</v>
      </c>
      <c r="P148" s="47">
        <v>40</v>
      </c>
      <c r="Q148" s="14">
        <v>249</v>
      </c>
      <c r="R148" s="8">
        <v>11</v>
      </c>
      <c r="S148" s="13">
        <v>7.65</v>
      </c>
    </row>
    <row r="149" spans="1:19" x14ac:dyDescent="0.25">
      <c r="A149" s="17">
        <v>45805</v>
      </c>
      <c r="B149" s="13">
        <v>11171</v>
      </c>
      <c r="C149" s="13">
        <v>60</v>
      </c>
      <c r="D149" s="79">
        <f t="shared" si="6"/>
        <v>6702.6</v>
      </c>
      <c r="E149" s="13">
        <v>3.6</v>
      </c>
      <c r="F149" s="79">
        <f t="shared" si="7"/>
        <v>402.15600000000001</v>
      </c>
      <c r="G149" s="13">
        <v>1983</v>
      </c>
      <c r="H149" s="13">
        <v>210</v>
      </c>
      <c r="I149" s="41">
        <f t="shared" si="8"/>
        <v>105.90015128593041</v>
      </c>
      <c r="J149" s="13">
        <v>3.3</v>
      </c>
      <c r="K149" s="36">
        <v>27</v>
      </c>
      <c r="L149" s="13">
        <v>0.73</v>
      </c>
      <c r="M149" s="14">
        <v>178</v>
      </c>
      <c r="N149" s="35">
        <v>11.6</v>
      </c>
      <c r="O149" s="14">
        <v>478</v>
      </c>
      <c r="P149" s="47">
        <v>34</v>
      </c>
      <c r="Q149" s="14">
        <v>254</v>
      </c>
      <c r="R149" s="8">
        <v>8</v>
      </c>
      <c r="S149" s="13">
        <v>7.6</v>
      </c>
    </row>
    <row r="150" spans="1:19" x14ac:dyDescent="0.25">
      <c r="A150" s="17">
        <v>45806</v>
      </c>
      <c r="B150" s="13">
        <v>11416</v>
      </c>
      <c r="C150" s="13">
        <v>60</v>
      </c>
      <c r="D150" s="79">
        <f t="shared" si="6"/>
        <v>6849.6</v>
      </c>
      <c r="E150" s="13">
        <v>3.3</v>
      </c>
      <c r="F150" s="79">
        <f t="shared" si="7"/>
        <v>376.72799999999995</v>
      </c>
      <c r="G150" s="13">
        <v>1977</v>
      </c>
      <c r="H150" s="13">
        <v>200</v>
      </c>
      <c r="I150" s="41">
        <f t="shared" si="8"/>
        <v>101.16337885685383</v>
      </c>
      <c r="J150" s="13">
        <v>2.95</v>
      </c>
      <c r="K150" s="36">
        <v>27.4</v>
      </c>
      <c r="L150" s="13">
        <v>0.4</v>
      </c>
      <c r="M150" s="14">
        <v>164</v>
      </c>
      <c r="N150" s="35">
        <v>12.5</v>
      </c>
      <c r="O150" s="14">
        <v>532</v>
      </c>
      <c r="P150" s="47">
        <v>40</v>
      </c>
      <c r="Q150" s="14">
        <v>247</v>
      </c>
      <c r="R150" s="8">
        <v>9</v>
      </c>
      <c r="S150" s="13">
        <v>7.61</v>
      </c>
    </row>
    <row r="151" spans="1:19" x14ac:dyDescent="0.25">
      <c r="A151" s="17">
        <v>45807</v>
      </c>
      <c r="B151" s="13">
        <v>11432</v>
      </c>
      <c r="C151" s="13">
        <v>60</v>
      </c>
      <c r="D151" s="79">
        <f t="shared" si="6"/>
        <v>6859.2</v>
      </c>
      <c r="E151" s="13">
        <v>3.5</v>
      </c>
      <c r="F151" s="79">
        <f t="shared" si="7"/>
        <v>400.12</v>
      </c>
      <c r="G151" s="13">
        <v>1970</v>
      </c>
      <c r="H151" s="13">
        <v>220</v>
      </c>
      <c r="I151" s="41">
        <f t="shared" si="8"/>
        <v>111.67512690355331</v>
      </c>
      <c r="J151" s="13">
        <v>3.4</v>
      </c>
      <c r="K151" s="36">
        <v>28</v>
      </c>
      <c r="L151" s="13">
        <v>0.47</v>
      </c>
      <c r="M151" s="14">
        <v>154</v>
      </c>
      <c r="N151" s="35">
        <v>13.2</v>
      </c>
      <c r="O151" s="14">
        <v>489</v>
      </c>
      <c r="P151" s="48">
        <v>38.1</v>
      </c>
      <c r="Q151" s="14">
        <v>250</v>
      </c>
      <c r="R151" s="8">
        <v>8</v>
      </c>
      <c r="S151" s="13">
        <v>7.57</v>
      </c>
    </row>
    <row r="152" spans="1:19" x14ac:dyDescent="0.25">
      <c r="A152" s="17">
        <v>45808</v>
      </c>
      <c r="B152" s="13">
        <v>11474</v>
      </c>
      <c r="C152" s="13">
        <v>60</v>
      </c>
      <c r="D152" s="79">
        <f t="shared" si="6"/>
        <v>6884.4</v>
      </c>
      <c r="E152" s="13">
        <v>3.6</v>
      </c>
      <c r="F152" s="79">
        <f t="shared" si="7"/>
        <v>413.06400000000002</v>
      </c>
      <c r="G152" s="13">
        <v>2160</v>
      </c>
      <c r="H152" s="13">
        <v>221</v>
      </c>
      <c r="I152" s="41">
        <f t="shared" si="8"/>
        <v>102.31481481481481</v>
      </c>
      <c r="J152" s="13">
        <v>3</v>
      </c>
      <c r="K152" s="36">
        <v>27.5</v>
      </c>
      <c r="L152" s="13">
        <v>0.9</v>
      </c>
      <c r="M152" s="14">
        <v>183</v>
      </c>
      <c r="N152" s="35">
        <v>11.6</v>
      </c>
      <c r="O152" s="14">
        <v>430</v>
      </c>
      <c r="P152" s="47">
        <v>34</v>
      </c>
      <c r="Q152" s="14">
        <v>253</v>
      </c>
      <c r="R152" s="8">
        <v>9</v>
      </c>
      <c r="S152" s="13">
        <v>7.63</v>
      </c>
    </row>
    <row r="153" spans="1:19" x14ac:dyDescent="0.25">
      <c r="A153" s="17">
        <v>45809</v>
      </c>
      <c r="B153" s="13">
        <v>11270</v>
      </c>
      <c r="C153" s="13">
        <v>60</v>
      </c>
      <c r="D153" s="79">
        <f t="shared" si="6"/>
        <v>6762</v>
      </c>
      <c r="E153" s="13">
        <v>3.6</v>
      </c>
      <c r="F153" s="79">
        <f t="shared" si="7"/>
        <v>405.72</v>
      </c>
      <c r="G153" s="13">
        <v>2142</v>
      </c>
      <c r="H153" s="13">
        <v>207</v>
      </c>
      <c r="I153" s="41">
        <f t="shared" si="8"/>
        <v>96.638655462184872</v>
      </c>
      <c r="J153" s="13">
        <v>3.52</v>
      </c>
      <c r="K153" s="36">
        <v>27.8</v>
      </c>
      <c r="L153" s="13">
        <v>0.68</v>
      </c>
      <c r="M153" s="14">
        <v>173</v>
      </c>
      <c r="N153" s="35">
        <v>11.8</v>
      </c>
      <c r="O153" s="14">
        <v>444</v>
      </c>
      <c r="P153" s="47">
        <v>31</v>
      </c>
      <c r="Q153" s="14">
        <v>245</v>
      </c>
      <c r="R153" s="8">
        <v>9</v>
      </c>
      <c r="S153" s="13">
        <v>7.6</v>
      </c>
    </row>
    <row r="154" spans="1:19" x14ac:dyDescent="0.25">
      <c r="A154" s="17">
        <v>45810</v>
      </c>
      <c r="B154" s="13">
        <v>11186</v>
      </c>
      <c r="C154" s="13">
        <v>60</v>
      </c>
      <c r="D154" s="79">
        <f t="shared" si="6"/>
        <v>6711.6</v>
      </c>
      <c r="E154" s="13">
        <v>3.3</v>
      </c>
      <c r="F154" s="79">
        <f t="shared" si="7"/>
        <v>369.13799999999998</v>
      </c>
      <c r="G154" s="13">
        <v>2154</v>
      </c>
      <c r="H154" s="13">
        <v>197</v>
      </c>
      <c r="I154" s="41">
        <f t="shared" si="8"/>
        <v>91.457753017641593</v>
      </c>
      <c r="J154" s="13">
        <v>2.9</v>
      </c>
      <c r="K154" s="36">
        <v>29</v>
      </c>
      <c r="L154" s="13">
        <v>0.55000000000000004</v>
      </c>
      <c r="M154" s="14">
        <v>193</v>
      </c>
      <c r="N154" s="35">
        <v>12.7</v>
      </c>
      <c r="O154" s="14">
        <v>444</v>
      </c>
      <c r="P154" s="47">
        <v>31</v>
      </c>
      <c r="Q154" s="14">
        <v>251</v>
      </c>
      <c r="R154" s="8">
        <v>10.8</v>
      </c>
      <c r="S154" s="13">
        <v>7.62</v>
      </c>
    </row>
    <row r="155" spans="1:19" x14ac:dyDescent="0.25">
      <c r="A155" s="17">
        <v>45811</v>
      </c>
      <c r="B155" s="13">
        <v>11307</v>
      </c>
      <c r="C155" s="13">
        <v>60</v>
      </c>
      <c r="D155" s="79">
        <f t="shared" si="6"/>
        <v>6784.2</v>
      </c>
      <c r="E155" s="13">
        <v>3.5</v>
      </c>
      <c r="F155" s="79">
        <f t="shared" si="7"/>
        <v>395.745</v>
      </c>
      <c r="G155" s="13">
        <v>2131</v>
      </c>
      <c r="H155" s="13">
        <v>212</v>
      </c>
      <c r="I155" s="41">
        <f t="shared" si="8"/>
        <v>99.483810417644293</v>
      </c>
      <c r="J155" s="13">
        <v>3.2</v>
      </c>
      <c r="K155" s="36">
        <v>30</v>
      </c>
      <c r="L155" s="13">
        <v>0.6</v>
      </c>
      <c r="M155" s="14">
        <v>162</v>
      </c>
      <c r="N155" s="35">
        <v>14.1</v>
      </c>
      <c r="O155" s="14">
        <v>477</v>
      </c>
      <c r="P155" s="47">
        <v>38</v>
      </c>
      <c r="Q155" s="14">
        <v>248</v>
      </c>
      <c r="R155" s="8">
        <v>10.3</v>
      </c>
      <c r="S155" s="13">
        <v>7.56</v>
      </c>
    </row>
    <row r="156" spans="1:19" x14ac:dyDescent="0.25">
      <c r="A156" s="17">
        <v>45812</v>
      </c>
      <c r="B156" s="13">
        <v>11321</v>
      </c>
      <c r="C156" s="13">
        <v>60</v>
      </c>
      <c r="D156" s="79">
        <f t="shared" si="6"/>
        <v>6792.6</v>
      </c>
      <c r="E156" s="13">
        <v>3.6</v>
      </c>
      <c r="F156" s="79">
        <f t="shared" si="7"/>
        <v>407.55599999999998</v>
      </c>
      <c r="G156" s="13">
        <v>2132</v>
      </c>
      <c r="H156" s="13">
        <v>226</v>
      </c>
      <c r="I156" s="41">
        <f t="shared" si="8"/>
        <v>106.00375234521576</v>
      </c>
      <c r="J156" s="13">
        <v>3.1</v>
      </c>
      <c r="K156" s="36">
        <v>32</v>
      </c>
      <c r="L156" s="13">
        <v>0.35</v>
      </c>
      <c r="M156" s="14">
        <v>181</v>
      </c>
      <c r="N156" s="35">
        <v>14.3</v>
      </c>
      <c r="O156" s="14">
        <v>470</v>
      </c>
      <c r="P156" s="48">
        <v>39.6</v>
      </c>
      <c r="Q156" s="14">
        <v>252</v>
      </c>
      <c r="R156" s="8">
        <v>13</v>
      </c>
      <c r="S156" s="13">
        <v>7.64</v>
      </c>
    </row>
    <row r="157" spans="1:19" x14ac:dyDescent="0.25">
      <c r="A157" s="17">
        <v>45813</v>
      </c>
      <c r="B157" s="13">
        <v>11296</v>
      </c>
      <c r="C157" s="13">
        <v>60</v>
      </c>
      <c r="D157" s="79">
        <f t="shared" si="6"/>
        <v>6777.6</v>
      </c>
      <c r="E157" s="13">
        <v>3.6</v>
      </c>
      <c r="F157" s="79">
        <f t="shared" si="7"/>
        <v>406.65600000000001</v>
      </c>
      <c r="G157" s="13">
        <v>2161</v>
      </c>
      <c r="H157" s="13">
        <v>232</v>
      </c>
      <c r="I157" s="41">
        <f t="shared" si="8"/>
        <v>107.3577047663119</v>
      </c>
      <c r="J157" s="13">
        <v>3.42</v>
      </c>
      <c r="K157" s="36">
        <v>31.5</v>
      </c>
      <c r="L157" s="13">
        <v>0.42</v>
      </c>
      <c r="M157" s="14">
        <v>174</v>
      </c>
      <c r="N157" s="35">
        <v>14.9</v>
      </c>
      <c r="O157" s="14">
        <v>500</v>
      </c>
      <c r="P157" s="48">
        <v>47.3</v>
      </c>
      <c r="Q157" s="14">
        <v>246</v>
      </c>
      <c r="R157" s="8">
        <v>11</v>
      </c>
      <c r="S157" s="13">
        <v>7.6</v>
      </c>
    </row>
    <row r="158" spans="1:19" x14ac:dyDescent="0.25">
      <c r="A158" s="17">
        <v>45814</v>
      </c>
      <c r="B158" s="13">
        <v>11168</v>
      </c>
      <c r="C158" s="13">
        <v>60</v>
      </c>
      <c r="D158" s="79">
        <f t="shared" si="6"/>
        <v>6700.8</v>
      </c>
      <c r="E158" s="13">
        <v>3.4</v>
      </c>
      <c r="F158" s="79">
        <f t="shared" si="7"/>
        <v>379.71199999999999</v>
      </c>
      <c r="G158" s="13">
        <v>2135</v>
      </c>
      <c r="H158" s="13">
        <v>211</v>
      </c>
      <c r="I158" s="41">
        <f t="shared" si="8"/>
        <v>98.829039812646371</v>
      </c>
      <c r="J158" s="13">
        <v>3.5</v>
      </c>
      <c r="K158" s="36">
        <v>33</v>
      </c>
      <c r="L158" s="13">
        <v>0.48</v>
      </c>
      <c r="M158" s="14">
        <v>162</v>
      </c>
      <c r="N158" s="35">
        <v>9.5</v>
      </c>
      <c r="O158" s="14">
        <v>430</v>
      </c>
      <c r="P158" s="48">
        <v>30.6</v>
      </c>
      <c r="Q158" s="14">
        <v>103</v>
      </c>
      <c r="R158" s="8">
        <v>7</v>
      </c>
      <c r="S158" s="13">
        <v>7.61</v>
      </c>
    </row>
    <row r="159" spans="1:19" x14ac:dyDescent="0.25">
      <c r="A159" s="17">
        <v>45815</v>
      </c>
      <c r="B159" s="13">
        <v>11171</v>
      </c>
      <c r="C159" s="13">
        <v>60</v>
      </c>
      <c r="D159" s="79">
        <f t="shared" si="6"/>
        <v>6702.6</v>
      </c>
      <c r="E159" s="13">
        <v>3.3</v>
      </c>
      <c r="F159" s="79">
        <f t="shared" si="7"/>
        <v>368.64299999999997</v>
      </c>
      <c r="G159" s="13">
        <v>2153</v>
      </c>
      <c r="H159" s="13">
        <v>197</v>
      </c>
      <c r="I159" s="41">
        <f t="shared" si="8"/>
        <v>91.500232234091968</v>
      </c>
      <c r="J159" s="13">
        <v>3.1</v>
      </c>
      <c r="K159" s="36">
        <v>32</v>
      </c>
      <c r="L159" s="13">
        <v>0.64</v>
      </c>
      <c r="M159" s="14">
        <v>194</v>
      </c>
      <c r="N159" s="35">
        <v>10</v>
      </c>
      <c r="O159" s="14">
        <v>357</v>
      </c>
      <c r="P159" s="47">
        <v>35</v>
      </c>
      <c r="Q159" s="14">
        <v>250</v>
      </c>
      <c r="R159" s="8">
        <v>9</v>
      </c>
      <c r="S159" s="13">
        <v>7.58</v>
      </c>
    </row>
    <row r="160" spans="1:19" x14ac:dyDescent="0.25">
      <c r="A160" s="17">
        <v>45816</v>
      </c>
      <c r="B160" s="13">
        <v>11036</v>
      </c>
      <c r="C160" s="13">
        <v>60</v>
      </c>
      <c r="D160" s="79">
        <f t="shared" si="6"/>
        <v>6621.6</v>
      </c>
      <c r="E160" s="13">
        <v>3.5</v>
      </c>
      <c r="F160" s="79">
        <f t="shared" si="7"/>
        <v>386.26</v>
      </c>
      <c r="G160" s="13">
        <v>2145</v>
      </c>
      <c r="H160" s="13">
        <v>216</v>
      </c>
      <c r="I160" s="41">
        <f t="shared" si="8"/>
        <v>100.69930069930069</v>
      </c>
      <c r="J160" s="13">
        <v>3.45</v>
      </c>
      <c r="K160" s="36">
        <v>30</v>
      </c>
      <c r="L160" s="13">
        <v>0.41</v>
      </c>
      <c r="M160" s="14">
        <v>191</v>
      </c>
      <c r="N160" s="35">
        <v>13.3</v>
      </c>
      <c r="O160" s="14">
        <v>400</v>
      </c>
      <c r="P160" s="47">
        <v>36</v>
      </c>
      <c r="Q160" s="14">
        <v>247</v>
      </c>
      <c r="R160" s="8">
        <v>10</v>
      </c>
      <c r="S160" s="13">
        <v>7.6</v>
      </c>
    </row>
    <row r="161" spans="1:19" x14ac:dyDescent="0.25">
      <c r="A161" s="17">
        <v>45817</v>
      </c>
      <c r="B161" s="13">
        <v>11282</v>
      </c>
      <c r="C161" s="13">
        <v>60</v>
      </c>
      <c r="D161" s="79">
        <f t="shared" si="6"/>
        <v>6769.2</v>
      </c>
      <c r="E161" s="13">
        <v>3.5</v>
      </c>
      <c r="F161" s="79">
        <f t="shared" si="7"/>
        <v>394.87</v>
      </c>
      <c r="G161" s="13">
        <v>2142</v>
      </c>
      <c r="H161" s="13">
        <v>210</v>
      </c>
      <c r="I161" s="41">
        <f t="shared" si="8"/>
        <v>98.039215686274517</v>
      </c>
      <c r="J161" s="13">
        <v>3.2</v>
      </c>
      <c r="K161" s="36">
        <v>30.6</v>
      </c>
      <c r="L161" s="13">
        <v>0.41</v>
      </c>
      <c r="M161" s="14">
        <v>176</v>
      </c>
      <c r="N161" s="35">
        <v>14.9</v>
      </c>
      <c r="O161" s="14">
        <v>388</v>
      </c>
      <c r="P161" s="47">
        <v>37</v>
      </c>
      <c r="Q161" s="14">
        <v>253</v>
      </c>
      <c r="R161" s="8">
        <v>10</v>
      </c>
      <c r="S161" s="13">
        <v>7.56</v>
      </c>
    </row>
    <row r="162" spans="1:19" x14ac:dyDescent="0.25">
      <c r="A162" s="17">
        <v>45818</v>
      </c>
      <c r="B162" s="13">
        <v>11284</v>
      </c>
      <c r="C162" s="13">
        <v>60</v>
      </c>
      <c r="D162" s="79">
        <f t="shared" si="6"/>
        <v>6770.4</v>
      </c>
      <c r="E162" s="13">
        <v>3.5</v>
      </c>
      <c r="F162" s="79">
        <f t="shared" si="7"/>
        <v>394.94</v>
      </c>
      <c r="G162" s="13">
        <v>2155</v>
      </c>
      <c r="H162" s="13">
        <v>219</v>
      </c>
      <c r="I162" s="41">
        <f t="shared" si="8"/>
        <v>101.62412993039443</v>
      </c>
      <c r="J162" s="13">
        <v>2.9</v>
      </c>
      <c r="K162" s="36">
        <v>32</v>
      </c>
      <c r="L162" s="13">
        <v>0.31</v>
      </c>
      <c r="M162" s="14">
        <v>171</v>
      </c>
      <c r="N162" s="35">
        <v>15.4</v>
      </c>
      <c r="O162" s="14">
        <v>396</v>
      </c>
      <c r="P162" s="47">
        <v>39</v>
      </c>
      <c r="Q162" s="14">
        <v>251</v>
      </c>
      <c r="R162" s="8">
        <v>9.9</v>
      </c>
      <c r="S162" s="13">
        <v>7.63</v>
      </c>
    </row>
    <row r="163" spans="1:19" x14ac:dyDescent="0.25">
      <c r="A163" s="17">
        <v>45819</v>
      </c>
      <c r="B163" s="13">
        <v>11046</v>
      </c>
      <c r="C163" s="13">
        <v>60</v>
      </c>
      <c r="D163" s="79">
        <f t="shared" si="6"/>
        <v>6627.6</v>
      </c>
      <c r="E163" s="13">
        <v>3.4</v>
      </c>
      <c r="F163" s="79">
        <f t="shared" si="7"/>
        <v>375.56400000000002</v>
      </c>
      <c r="G163" s="13">
        <v>2146</v>
      </c>
      <c r="H163" s="13">
        <v>208</v>
      </c>
      <c r="I163" s="41">
        <f t="shared" si="8"/>
        <v>96.924510717614169</v>
      </c>
      <c r="J163" s="13">
        <v>3.42</v>
      </c>
      <c r="K163" s="36">
        <v>31</v>
      </c>
      <c r="L163" s="13">
        <v>0.67</v>
      </c>
      <c r="M163" s="14">
        <v>190</v>
      </c>
      <c r="N163" s="35">
        <v>14.4</v>
      </c>
      <c r="O163" s="14">
        <v>380</v>
      </c>
      <c r="P163" s="48">
        <v>37.4</v>
      </c>
      <c r="Q163" s="14">
        <v>248</v>
      </c>
      <c r="R163" s="8">
        <v>8</v>
      </c>
      <c r="S163" s="13">
        <v>7.6</v>
      </c>
    </row>
    <row r="164" spans="1:19" x14ac:dyDescent="0.25">
      <c r="A164" s="17">
        <v>45820</v>
      </c>
      <c r="B164" s="13">
        <v>11046</v>
      </c>
      <c r="C164" s="13">
        <v>60</v>
      </c>
      <c r="D164" s="79">
        <f t="shared" si="6"/>
        <v>6627.6</v>
      </c>
      <c r="E164" s="13">
        <v>3.4</v>
      </c>
      <c r="F164" s="79">
        <f t="shared" si="7"/>
        <v>375.56400000000002</v>
      </c>
      <c r="G164" s="13">
        <v>2158</v>
      </c>
      <c r="H164" s="13">
        <v>207</v>
      </c>
      <c r="I164" s="41">
        <f t="shared" si="8"/>
        <v>95.922150139017603</v>
      </c>
      <c r="J164" s="13">
        <v>3.1</v>
      </c>
      <c r="K164" s="36">
        <v>33</v>
      </c>
      <c r="L164" s="13">
        <v>0.48</v>
      </c>
      <c r="M164" s="14">
        <v>191</v>
      </c>
      <c r="N164" s="35">
        <v>15</v>
      </c>
      <c r="O164" s="14">
        <v>440</v>
      </c>
      <c r="P164" s="47">
        <v>44</v>
      </c>
      <c r="Q164" s="14">
        <v>252</v>
      </c>
      <c r="R164" s="8">
        <v>8.9</v>
      </c>
      <c r="S164" s="13">
        <v>7.62</v>
      </c>
    </row>
    <row r="165" spans="1:19" x14ac:dyDescent="0.25">
      <c r="A165" s="17">
        <v>45821</v>
      </c>
      <c r="B165" s="13">
        <v>11546</v>
      </c>
      <c r="C165" s="13">
        <v>60</v>
      </c>
      <c r="D165" s="79">
        <f t="shared" si="6"/>
        <v>6927.6</v>
      </c>
      <c r="E165" s="13">
        <v>3.6</v>
      </c>
      <c r="F165" s="79">
        <f t="shared" si="7"/>
        <v>415.65600000000001</v>
      </c>
      <c r="G165" s="13">
        <v>2158</v>
      </c>
      <c r="H165" s="13">
        <v>199</v>
      </c>
      <c r="I165" s="41">
        <f t="shared" si="8"/>
        <v>92.215013901760884</v>
      </c>
      <c r="J165" s="13">
        <v>2.8</v>
      </c>
      <c r="K165" s="36">
        <v>29</v>
      </c>
      <c r="L165" s="13">
        <v>0.84</v>
      </c>
      <c r="M165" s="14">
        <v>169</v>
      </c>
      <c r="N165" s="35">
        <v>13</v>
      </c>
      <c r="O165" s="14">
        <v>400</v>
      </c>
      <c r="P165" s="47">
        <v>34</v>
      </c>
      <c r="Q165" s="14">
        <v>246</v>
      </c>
      <c r="R165" s="8">
        <v>10</v>
      </c>
      <c r="S165" s="13">
        <v>7.57</v>
      </c>
    </row>
    <row r="166" spans="1:19" x14ac:dyDescent="0.25">
      <c r="A166" s="17">
        <v>45822</v>
      </c>
      <c r="B166" s="13">
        <v>11546</v>
      </c>
      <c r="C166" s="13">
        <v>60</v>
      </c>
      <c r="D166" s="79">
        <f t="shared" si="6"/>
        <v>6927.6</v>
      </c>
      <c r="E166" s="13">
        <v>3.3</v>
      </c>
      <c r="F166" s="79">
        <f t="shared" si="7"/>
        <v>381.01799999999997</v>
      </c>
      <c r="G166" s="13">
        <v>2157</v>
      </c>
      <c r="H166" s="13">
        <v>213</v>
      </c>
      <c r="I166" s="41">
        <f t="shared" si="8"/>
        <v>98.748261474269825</v>
      </c>
      <c r="J166" s="13">
        <v>3.5</v>
      </c>
      <c r="K166" s="36">
        <v>31</v>
      </c>
      <c r="L166" s="13">
        <v>0.81</v>
      </c>
      <c r="M166" s="14">
        <v>182</v>
      </c>
      <c r="N166" s="35">
        <v>14.2</v>
      </c>
      <c r="O166" s="14">
        <v>387</v>
      </c>
      <c r="P166" s="48">
        <v>37</v>
      </c>
      <c r="Q166" s="14">
        <v>250</v>
      </c>
      <c r="R166" s="8">
        <v>10</v>
      </c>
      <c r="S166" s="13">
        <v>7.65</v>
      </c>
    </row>
    <row r="167" spans="1:19" x14ac:dyDescent="0.25">
      <c r="A167" s="17">
        <v>45823</v>
      </c>
      <c r="B167" s="13">
        <v>11307</v>
      </c>
      <c r="C167" s="13">
        <v>60</v>
      </c>
      <c r="D167" s="79">
        <f t="shared" si="6"/>
        <v>6784.2</v>
      </c>
      <c r="E167" s="13">
        <v>3.5</v>
      </c>
      <c r="F167" s="79">
        <f t="shared" si="7"/>
        <v>395.745</v>
      </c>
      <c r="G167" s="13">
        <v>2146</v>
      </c>
      <c r="H167" s="13">
        <v>208</v>
      </c>
      <c r="I167" s="41">
        <f t="shared" si="8"/>
        <v>96.924510717614169</v>
      </c>
      <c r="J167" s="13">
        <v>2.9</v>
      </c>
      <c r="K167" s="36">
        <v>29</v>
      </c>
      <c r="L167" s="13">
        <v>0.31</v>
      </c>
      <c r="M167" s="14">
        <v>187</v>
      </c>
      <c r="N167" s="35">
        <v>10</v>
      </c>
      <c r="O167" s="14">
        <v>300</v>
      </c>
      <c r="P167" s="47">
        <v>28</v>
      </c>
      <c r="Q167" s="14">
        <v>254</v>
      </c>
      <c r="R167" s="8">
        <v>8</v>
      </c>
      <c r="S167" s="13">
        <v>7.6</v>
      </c>
    </row>
    <row r="168" spans="1:19" x14ac:dyDescent="0.25">
      <c r="A168" s="17">
        <v>45824</v>
      </c>
      <c r="B168" s="13">
        <v>11296</v>
      </c>
      <c r="C168" s="13">
        <v>60</v>
      </c>
      <c r="D168" s="79">
        <f t="shared" si="6"/>
        <v>6777.6</v>
      </c>
      <c r="E168" s="13">
        <v>3.6</v>
      </c>
      <c r="F168" s="79">
        <f t="shared" si="7"/>
        <v>406.65600000000001</v>
      </c>
      <c r="G168" s="13">
        <v>2168</v>
      </c>
      <c r="H168" s="13">
        <v>199</v>
      </c>
      <c r="I168" s="41">
        <f t="shared" si="8"/>
        <v>91.789667896678964</v>
      </c>
      <c r="J168" s="13">
        <v>3.3</v>
      </c>
      <c r="K168" s="36">
        <v>33</v>
      </c>
      <c r="L168" s="13">
        <v>0.43</v>
      </c>
      <c r="M168" s="14">
        <v>184</v>
      </c>
      <c r="N168" s="35">
        <v>9.4</v>
      </c>
      <c r="O168" s="14">
        <v>380</v>
      </c>
      <c r="P168" s="47">
        <v>33</v>
      </c>
      <c r="Q168" s="14">
        <v>249</v>
      </c>
      <c r="R168" s="8">
        <v>8</v>
      </c>
      <c r="S168" s="13">
        <v>7.61</v>
      </c>
    </row>
    <row r="169" spans="1:19" x14ac:dyDescent="0.25">
      <c r="A169" s="17">
        <v>45825</v>
      </c>
      <c r="B169" s="13">
        <v>11171</v>
      </c>
      <c r="C169" s="13">
        <v>60</v>
      </c>
      <c r="D169" s="79">
        <f t="shared" si="6"/>
        <v>6702.6</v>
      </c>
      <c r="E169" s="13">
        <v>3.6</v>
      </c>
      <c r="F169" s="79">
        <f t="shared" si="7"/>
        <v>402.15600000000001</v>
      </c>
      <c r="G169" s="13">
        <v>2134</v>
      </c>
      <c r="H169" s="13">
        <v>217</v>
      </c>
      <c r="I169" s="41">
        <f t="shared" si="8"/>
        <v>101.68697282099345</v>
      </c>
      <c r="J169" s="13">
        <v>3.1</v>
      </c>
      <c r="K169" s="36">
        <v>31</v>
      </c>
      <c r="L169" s="13">
        <v>0.69</v>
      </c>
      <c r="M169" s="14">
        <v>174</v>
      </c>
      <c r="N169" s="35">
        <v>14.5</v>
      </c>
      <c r="O169" s="14">
        <v>400</v>
      </c>
      <c r="P169" s="47">
        <v>39</v>
      </c>
      <c r="Q169" s="14">
        <v>251</v>
      </c>
      <c r="R169" s="8">
        <v>9</v>
      </c>
      <c r="S169" s="13">
        <v>7.56</v>
      </c>
    </row>
    <row r="170" spans="1:19" x14ac:dyDescent="0.25">
      <c r="A170" s="17">
        <v>45826</v>
      </c>
      <c r="B170" s="13">
        <v>10925</v>
      </c>
      <c r="C170" s="13">
        <v>60</v>
      </c>
      <c r="D170" s="79">
        <f t="shared" si="6"/>
        <v>6555</v>
      </c>
      <c r="E170" s="13">
        <v>3.4</v>
      </c>
      <c r="F170" s="79">
        <f t="shared" si="7"/>
        <v>371.45</v>
      </c>
      <c r="G170" s="13">
        <v>2147</v>
      </c>
      <c r="H170" s="13">
        <v>204</v>
      </c>
      <c r="I170" s="41">
        <f t="shared" si="8"/>
        <v>95.016301816488124</v>
      </c>
      <c r="J170" s="13">
        <v>3.44</v>
      </c>
      <c r="K170" s="36">
        <v>28</v>
      </c>
      <c r="L170" s="13">
        <v>0.4</v>
      </c>
      <c r="M170" s="14">
        <v>161</v>
      </c>
      <c r="N170" s="35">
        <v>12</v>
      </c>
      <c r="O170" s="14">
        <v>420</v>
      </c>
      <c r="P170" s="48">
        <v>34.6</v>
      </c>
      <c r="Q170" s="14">
        <v>247</v>
      </c>
      <c r="R170" s="8">
        <v>9</v>
      </c>
      <c r="S170" s="13">
        <v>7.64</v>
      </c>
    </row>
    <row r="171" spans="1:19" x14ac:dyDescent="0.25">
      <c r="A171" s="17">
        <v>45827</v>
      </c>
      <c r="B171" s="13">
        <v>10949</v>
      </c>
      <c r="C171" s="13">
        <v>60</v>
      </c>
      <c r="D171" s="79">
        <f t="shared" si="6"/>
        <v>6569.4</v>
      </c>
      <c r="E171" s="13">
        <v>3.3</v>
      </c>
      <c r="F171" s="79">
        <f t="shared" si="7"/>
        <v>361.31699999999995</v>
      </c>
      <c r="G171" s="13">
        <v>2168</v>
      </c>
      <c r="H171" s="13">
        <v>221</v>
      </c>
      <c r="I171" s="41">
        <f t="shared" si="8"/>
        <v>101.93726937269372</v>
      </c>
      <c r="J171" s="13">
        <v>2.8</v>
      </c>
      <c r="K171" s="36">
        <v>30</v>
      </c>
      <c r="L171" s="13">
        <v>0.35</v>
      </c>
      <c r="M171" s="14">
        <v>162</v>
      </c>
      <c r="N171" s="35">
        <v>13.5</v>
      </c>
      <c r="O171" s="14">
        <v>440</v>
      </c>
      <c r="P171" s="47">
        <v>38</v>
      </c>
      <c r="Q171" s="14">
        <v>253</v>
      </c>
      <c r="R171" s="8">
        <v>10.6</v>
      </c>
      <c r="S171" s="13">
        <v>7.6</v>
      </c>
    </row>
    <row r="172" spans="1:19" x14ac:dyDescent="0.25">
      <c r="A172" s="17">
        <v>45828</v>
      </c>
      <c r="B172" s="13">
        <v>10794</v>
      </c>
      <c r="C172" s="13">
        <v>60</v>
      </c>
      <c r="D172" s="79">
        <f t="shared" si="6"/>
        <v>6476.4</v>
      </c>
      <c r="E172" s="13">
        <v>3.5</v>
      </c>
      <c r="F172" s="79">
        <f t="shared" si="7"/>
        <v>377.79</v>
      </c>
      <c r="G172" s="13">
        <v>2139</v>
      </c>
      <c r="H172" s="13">
        <v>206</v>
      </c>
      <c r="I172" s="41">
        <f t="shared" si="8"/>
        <v>96.306685366993918</v>
      </c>
      <c r="J172" s="13">
        <v>3.3</v>
      </c>
      <c r="K172" s="36">
        <v>32</v>
      </c>
      <c r="L172" s="13">
        <v>0.86</v>
      </c>
      <c r="M172" s="14">
        <v>183.2</v>
      </c>
      <c r="N172" s="35">
        <v>13</v>
      </c>
      <c r="O172" s="14">
        <v>480</v>
      </c>
      <c r="P172" s="47">
        <v>35</v>
      </c>
      <c r="Q172" s="14">
        <v>248</v>
      </c>
      <c r="R172" s="8">
        <v>8</v>
      </c>
      <c r="S172" s="13">
        <v>7.62</v>
      </c>
    </row>
    <row r="173" spans="1:19" x14ac:dyDescent="0.25">
      <c r="A173" s="17">
        <v>45829</v>
      </c>
      <c r="B173" s="13">
        <v>10807</v>
      </c>
      <c r="C173" s="13">
        <v>60</v>
      </c>
      <c r="D173" s="79">
        <f t="shared" si="6"/>
        <v>6484.2</v>
      </c>
      <c r="E173" s="13">
        <v>3.5</v>
      </c>
      <c r="F173" s="79">
        <f t="shared" si="7"/>
        <v>378.245</v>
      </c>
      <c r="G173" s="13">
        <v>2156</v>
      </c>
      <c r="H173" s="13">
        <v>207</v>
      </c>
      <c r="I173" s="41">
        <f t="shared" si="8"/>
        <v>96.011131725417442</v>
      </c>
      <c r="J173" s="13">
        <v>2.95</v>
      </c>
      <c r="K173" s="36">
        <v>30</v>
      </c>
      <c r="L173" s="13">
        <v>0.63</v>
      </c>
      <c r="M173" s="14">
        <v>173</v>
      </c>
      <c r="N173" s="35">
        <v>14.4</v>
      </c>
      <c r="O173" s="14">
        <v>430</v>
      </c>
      <c r="P173" s="48">
        <v>41.6</v>
      </c>
      <c r="Q173" s="14">
        <v>252</v>
      </c>
      <c r="R173" s="8">
        <v>11</v>
      </c>
      <c r="S173" s="13">
        <v>7.57</v>
      </c>
    </row>
    <row r="174" spans="1:19" x14ac:dyDescent="0.25">
      <c r="A174" s="17">
        <v>45830</v>
      </c>
      <c r="B174" s="13">
        <v>10987</v>
      </c>
      <c r="C174" s="13">
        <v>60</v>
      </c>
      <c r="D174" s="79">
        <f t="shared" si="6"/>
        <v>6592.2</v>
      </c>
      <c r="E174" s="13">
        <v>3.5</v>
      </c>
      <c r="F174" s="79">
        <f t="shared" si="7"/>
        <v>384.54500000000002</v>
      </c>
      <c r="G174" s="13">
        <v>2162</v>
      </c>
      <c r="H174" s="13">
        <v>213</v>
      </c>
      <c r="I174" s="41">
        <f t="shared" si="8"/>
        <v>98.519888991674378</v>
      </c>
      <c r="J174" s="13">
        <v>3.4</v>
      </c>
      <c r="K174" s="36">
        <v>33</v>
      </c>
      <c r="L174" s="13">
        <v>0.56999999999999995</v>
      </c>
      <c r="M174" s="14">
        <v>170</v>
      </c>
      <c r="N174" s="35">
        <v>15.1</v>
      </c>
      <c r="O174" s="14">
        <v>430</v>
      </c>
      <c r="P174" s="48">
        <v>39.799999999999997</v>
      </c>
      <c r="Q174" s="14">
        <v>246</v>
      </c>
      <c r="R174" s="8">
        <v>10.1</v>
      </c>
      <c r="S174" s="13">
        <v>7.64</v>
      </c>
    </row>
    <row r="175" spans="1:19" x14ac:dyDescent="0.25">
      <c r="A175" s="17">
        <v>45831</v>
      </c>
      <c r="B175" s="13">
        <v>10998</v>
      </c>
      <c r="C175" s="13">
        <v>60</v>
      </c>
      <c r="D175" s="79">
        <f t="shared" si="6"/>
        <v>6598.8</v>
      </c>
      <c r="E175" s="13">
        <v>3.4</v>
      </c>
      <c r="F175" s="79">
        <f t="shared" si="7"/>
        <v>373.93199999999996</v>
      </c>
      <c r="G175" s="13">
        <v>2160</v>
      </c>
      <c r="H175" s="13">
        <v>218</v>
      </c>
      <c r="I175" s="41">
        <f t="shared" si="8"/>
        <v>100.92592592592592</v>
      </c>
      <c r="J175" s="13">
        <v>3</v>
      </c>
      <c r="K175" s="36">
        <v>30</v>
      </c>
      <c r="L175" s="13">
        <v>0.76</v>
      </c>
      <c r="M175" s="14">
        <v>188</v>
      </c>
      <c r="N175" s="35">
        <v>14.4</v>
      </c>
      <c r="O175" s="14">
        <v>390</v>
      </c>
      <c r="P175" s="47">
        <v>36</v>
      </c>
      <c r="Q175" s="14">
        <v>251</v>
      </c>
      <c r="R175" s="8">
        <v>10.3</v>
      </c>
      <c r="S175" s="13">
        <v>7.6</v>
      </c>
    </row>
    <row r="176" spans="1:19" x14ac:dyDescent="0.25">
      <c r="A176" s="17">
        <v>45832</v>
      </c>
      <c r="B176" s="13">
        <v>11296</v>
      </c>
      <c r="C176" s="13">
        <v>60</v>
      </c>
      <c r="D176" s="79">
        <f t="shared" si="6"/>
        <v>6777.6</v>
      </c>
      <c r="E176" s="13">
        <v>3.4</v>
      </c>
      <c r="F176" s="79">
        <f t="shared" si="7"/>
        <v>384.06400000000002</v>
      </c>
      <c r="G176" s="13">
        <v>2160</v>
      </c>
      <c r="H176" s="13">
        <v>194</v>
      </c>
      <c r="I176" s="41">
        <f t="shared" si="8"/>
        <v>89.81481481481481</v>
      </c>
      <c r="J176" s="13">
        <v>3.52</v>
      </c>
      <c r="K176" s="36">
        <v>31.7</v>
      </c>
      <c r="L176" s="13">
        <v>0.78</v>
      </c>
      <c r="M176" s="14">
        <v>165</v>
      </c>
      <c r="N176" s="35">
        <v>7.6</v>
      </c>
      <c r="O176" s="14">
        <v>300</v>
      </c>
      <c r="P176" s="48">
        <v>21.8</v>
      </c>
      <c r="Q176" s="14">
        <v>140</v>
      </c>
      <c r="R176" s="8">
        <v>6</v>
      </c>
      <c r="S176" s="13">
        <v>7.61</v>
      </c>
    </row>
    <row r="177" spans="1:19" x14ac:dyDescent="0.25">
      <c r="A177" s="17">
        <v>45833</v>
      </c>
      <c r="B177" s="13">
        <v>10916</v>
      </c>
      <c r="C177" s="13">
        <v>60</v>
      </c>
      <c r="D177" s="79">
        <f t="shared" si="6"/>
        <v>6549.6</v>
      </c>
      <c r="E177" s="13">
        <v>3.6</v>
      </c>
      <c r="F177" s="79">
        <f t="shared" si="7"/>
        <v>392.976</v>
      </c>
      <c r="G177" s="13">
        <v>2132</v>
      </c>
      <c r="H177" s="13">
        <v>222</v>
      </c>
      <c r="I177" s="41">
        <f t="shared" si="8"/>
        <v>104.12757973733584</v>
      </c>
      <c r="J177" s="13">
        <v>2.9</v>
      </c>
      <c r="K177" s="36">
        <v>33</v>
      </c>
      <c r="L177" s="13">
        <v>0.39</v>
      </c>
      <c r="M177" s="14">
        <v>175</v>
      </c>
      <c r="N177" s="35">
        <v>13.5</v>
      </c>
      <c r="O177" s="14">
        <v>330</v>
      </c>
      <c r="P177" s="47">
        <v>33</v>
      </c>
      <c r="Q177" s="14">
        <v>254</v>
      </c>
      <c r="R177" s="8">
        <v>9</v>
      </c>
      <c r="S177" s="13">
        <v>7.58</v>
      </c>
    </row>
    <row r="178" spans="1:19" x14ac:dyDescent="0.25">
      <c r="A178" s="17">
        <v>45834</v>
      </c>
      <c r="B178" s="13">
        <v>11307</v>
      </c>
      <c r="C178" s="13">
        <v>60</v>
      </c>
      <c r="D178" s="79">
        <f t="shared" si="6"/>
        <v>6784.2</v>
      </c>
      <c r="E178" s="13">
        <v>3.6</v>
      </c>
      <c r="F178" s="79">
        <f t="shared" si="7"/>
        <v>407.05200000000002</v>
      </c>
      <c r="G178" s="13">
        <v>2148</v>
      </c>
      <c r="H178" s="13">
        <v>229</v>
      </c>
      <c r="I178" s="41">
        <f t="shared" si="8"/>
        <v>106.61080074487896</v>
      </c>
      <c r="J178" s="13">
        <v>3.2</v>
      </c>
      <c r="K178" s="36">
        <v>32</v>
      </c>
      <c r="L178" s="13">
        <v>0.33</v>
      </c>
      <c r="M178" s="14">
        <v>166</v>
      </c>
      <c r="N178" s="35">
        <v>14</v>
      </c>
      <c r="O178" s="14">
        <v>420</v>
      </c>
      <c r="P178" s="47">
        <v>45</v>
      </c>
      <c r="Q178" s="14">
        <v>247</v>
      </c>
      <c r="R178" s="8">
        <v>10.6</v>
      </c>
      <c r="S178" s="13">
        <v>7.5</v>
      </c>
    </row>
    <row r="179" spans="1:19" x14ac:dyDescent="0.25">
      <c r="A179" s="17">
        <v>45835</v>
      </c>
      <c r="B179" s="13">
        <v>11421</v>
      </c>
      <c r="C179" s="13">
        <v>60</v>
      </c>
      <c r="D179" s="79">
        <f t="shared" si="6"/>
        <v>6852.6</v>
      </c>
      <c r="E179" s="13">
        <v>3.4</v>
      </c>
      <c r="F179" s="79">
        <f t="shared" si="7"/>
        <v>388.31400000000002</v>
      </c>
      <c r="G179" s="13">
        <v>2134</v>
      </c>
      <c r="H179" s="13">
        <v>220</v>
      </c>
      <c r="I179" s="41">
        <f t="shared" si="8"/>
        <v>103.09278350515464</v>
      </c>
      <c r="J179" s="13">
        <v>3.1</v>
      </c>
      <c r="K179" s="36">
        <v>29.5</v>
      </c>
      <c r="L179" s="13">
        <v>0.54</v>
      </c>
      <c r="M179" s="14">
        <v>176</v>
      </c>
      <c r="N179" s="35">
        <v>13</v>
      </c>
      <c r="O179" s="14">
        <v>380</v>
      </c>
      <c r="P179" s="48">
        <v>37.799999999999997</v>
      </c>
      <c r="Q179" s="14">
        <v>250</v>
      </c>
      <c r="R179" s="8">
        <v>9.4</v>
      </c>
      <c r="S179" s="13">
        <v>7.45</v>
      </c>
    </row>
    <row r="180" spans="1:19" x14ac:dyDescent="0.25">
      <c r="A180" s="17">
        <v>45836</v>
      </c>
      <c r="B180" s="13">
        <v>11449</v>
      </c>
      <c r="C180" s="13">
        <v>60</v>
      </c>
      <c r="D180" s="79">
        <f t="shared" si="6"/>
        <v>6869.4</v>
      </c>
      <c r="E180" s="13">
        <v>3.6</v>
      </c>
      <c r="F180" s="79">
        <f t="shared" si="7"/>
        <v>412.16399999999999</v>
      </c>
      <c r="G180" s="13">
        <v>2161</v>
      </c>
      <c r="H180" s="13">
        <v>203</v>
      </c>
      <c r="I180" s="41">
        <f t="shared" si="8"/>
        <v>93.937991670522905</v>
      </c>
      <c r="J180" s="13">
        <v>3.42</v>
      </c>
      <c r="K180" s="36">
        <v>31</v>
      </c>
      <c r="L180" s="13">
        <v>0.54</v>
      </c>
      <c r="M180" s="14">
        <v>192</v>
      </c>
      <c r="N180" s="35">
        <v>9.5</v>
      </c>
      <c r="O180" s="14">
        <v>320</v>
      </c>
      <c r="P180" s="48">
        <v>29.8</v>
      </c>
      <c r="Q180" s="14">
        <v>253</v>
      </c>
      <c r="R180" s="8">
        <v>6.6</v>
      </c>
      <c r="S180" s="13">
        <v>7.54</v>
      </c>
    </row>
    <row r="181" spans="1:19" x14ac:dyDescent="0.25">
      <c r="A181" s="17">
        <v>45837</v>
      </c>
      <c r="B181" s="13">
        <v>11307</v>
      </c>
      <c r="C181" s="13">
        <v>60</v>
      </c>
      <c r="D181" s="79">
        <f t="shared" si="6"/>
        <v>6784.2</v>
      </c>
      <c r="E181" s="13">
        <v>3.6</v>
      </c>
      <c r="F181" s="79">
        <f t="shared" si="7"/>
        <v>407.05200000000002</v>
      </c>
      <c r="G181" s="13">
        <v>2170</v>
      </c>
      <c r="H181" s="13">
        <v>198</v>
      </c>
      <c r="I181" s="41">
        <f t="shared" si="8"/>
        <v>91.244239631336399</v>
      </c>
      <c r="J181" s="13">
        <v>3.5</v>
      </c>
      <c r="K181" s="36">
        <v>30.6</v>
      </c>
      <c r="L181" s="13">
        <v>0.56000000000000005</v>
      </c>
      <c r="M181" s="14">
        <v>170</v>
      </c>
      <c r="N181" s="35">
        <v>13.3</v>
      </c>
      <c r="O181" s="14">
        <v>450</v>
      </c>
      <c r="P181" s="48">
        <v>38.799999999999997</v>
      </c>
      <c r="Q181" s="14">
        <v>245</v>
      </c>
      <c r="R181" s="8">
        <v>10</v>
      </c>
      <c r="S181" s="13">
        <v>7.5</v>
      </c>
    </row>
    <row r="182" spans="1:19" x14ac:dyDescent="0.25">
      <c r="A182" s="17">
        <v>45838</v>
      </c>
      <c r="B182" s="13">
        <v>11057</v>
      </c>
      <c r="C182" s="13">
        <v>60</v>
      </c>
      <c r="D182" s="79">
        <f t="shared" si="6"/>
        <v>6634.2</v>
      </c>
      <c r="E182" s="13">
        <v>3.4</v>
      </c>
      <c r="F182" s="79">
        <f t="shared" si="7"/>
        <v>375.93799999999993</v>
      </c>
      <c r="G182" s="13">
        <v>2103</v>
      </c>
      <c r="H182" s="13">
        <v>222</v>
      </c>
      <c r="I182" s="41">
        <f t="shared" si="8"/>
        <v>105.56348074179743</v>
      </c>
      <c r="J182" s="13">
        <v>3.1</v>
      </c>
      <c r="K182" s="36">
        <v>32</v>
      </c>
      <c r="L182" s="13">
        <v>0.73</v>
      </c>
      <c r="M182" s="14">
        <v>180</v>
      </c>
      <c r="N182" s="35">
        <v>15.5</v>
      </c>
      <c r="O182" s="14">
        <v>370</v>
      </c>
      <c r="P182" s="48">
        <v>36</v>
      </c>
      <c r="Q182" s="14">
        <v>251</v>
      </c>
      <c r="R182" s="8">
        <v>13.4</v>
      </c>
      <c r="S182" s="13">
        <v>7.52</v>
      </c>
    </row>
    <row r="183" spans="1:19" x14ac:dyDescent="0.25">
      <c r="A183" s="17">
        <v>45839</v>
      </c>
      <c r="B183" s="13">
        <v>11046</v>
      </c>
      <c r="C183" s="13">
        <v>60</v>
      </c>
      <c r="D183" s="79">
        <f t="shared" si="6"/>
        <v>6627.6</v>
      </c>
      <c r="E183" s="13">
        <v>3.3</v>
      </c>
      <c r="F183" s="79">
        <f t="shared" si="7"/>
        <v>364.51799999999997</v>
      </c>
      <c r="G183" s="13">
        <v>2067</v>
      </c>
      <c r="H183" s="13">
        <v>217</v>
      </c>
      <c r="I183" s="41">
        <f t="shared" si="8"/>
        <v>104.98306724721819</v>
      </c>
      <c r="J183" s="13">
        <v>3.45</v>
      </c>
      <c r="K183" s="36">
        <v>32</v>
      </c>
      <c r="L183" s="13">
        <v>0.69</v>
      </c>
      <c r="M183" s="14">
        <v>197</v>
      </c>
      <c r="N183" s="35">
        <v>14.1</v>
      </c>
      <c r="O183" s="14">
        <v>378</v>
      </c>
      <c r="P183" s="48">
        <v>40.200000000000003</v>
      </c>
      <c r="Q183" s="14">
        <v>248</v>
      </c>
      <c r="R183" s="8">
        <v>9.9</v>
      </c>
      <c r="S183" s="13">
        <v>7.47</v>
      </c>
    </row>
    <row r="184" spans="1:19" x14ac:dyDescent="0.25">
      <c r="A184" s="17">
        <v>45840</v>
      </c>
      <c r="B184" s="13">
        <v>10796</v>
      </c>
      <c r="C184" s="13">
        <v>60</v>
      </c>
      <c r="D184" s="79">
        <f t="shared" si="6"/>
        <v>6477.6</v>
      </c>
      <c r="E184" s="13">
        <v>3.5</v>
      </c>
      <c r="F184" s="79">
        <f t="shared" si="7"/>
        <v>377.86</v>
      </c>
      <c r="G184" s="13">
        <v>2099</v>
      </c>
      <c r="H184" s="13">
        <v>229</v>
      </c>
      <c r="I184" s="41">
        <f t="shared" si="8"/>
        <v>109.09957122439256</v>
      </c>
      <c r="J184" s="13">
        <v>5.0999999999999996</v>
      </c>
      <c r="K184" s="36">
        <v>33</v>
      </c>
      <c r="L184" s="13">
        <v>0.89</v>
      </c>
      <c r="M184" s="14">
        <v>170</v>
      </c>
      <c r="N184" s="35">
        <v>16</v>
      </c>
      <c r="O184" s="14">
        <v>370</v>
      </c>
      <c r="P184" s="47">
        <v>38</v>
      </c>
      <c r="Q184" s="14">
        <v>252</v>
      </c>
      <c r="R184" s="8">
        <v>10</v>
      </c>
      <c r="S184" s="13">
        <v>7.55</v>
      </c>
    </row>
    <row r="185" spans="1:19" x14ac:dyDescent="0.25">
      <c r="A185" s="17">
        <v>45841</v>
      </c>
      <c r="B185" s="13">
        <v>11046</v>
      </c>
      <c r="C185" s="13">
        <v>60</v>
      </c>
      <c r="D185" s="79">
        <f t="shared" si="6"/>
        <v>6627.6</v>
      </c>
      <c r="E185" s="13">
        <v>3.5</v>
      </c>
      <c r="F185" s="79">
        <f t="shared" si="7"/>
        <v>386.61</v>
      </c>
      <c r="G185" s="13">
        <v>2081</v>
      </c>
      <c r="H185" s="13">
        <v>199</v>
      </c>
      <c r="I185" s="41">
        <f t="shared" si="8"/>
        <v>95.627102354637188</v>
      </c>
      <c r="J185" s="13">
        <v>4.7</v>
      </c>
      <c r="K185" s="36">
        <v>31.8</v>
      </c>
      <c r="L185" s="13">
        <v>0.33</v>
      </c>
      <c r="M185" s="14">
        <v>164</v>
      </c>
      <c r="N185" s="35">
        <v>9.4</v>
      </c>
      <c r="O185" s="14">
        <v>354</v>
      </c>
      <c r="P185" s="47">
        <v>34</v>
      </c>
      <c r="Q185" s="14">
        <v>246</v>
      </c>
      <c r="R185" s="8">
        <v>8.3000000000000007</v>
      </c>
      <c r="S185" s="13">
        <v>7.5</v>
      </c>
    </row>
    <row r="186" spans="1:19" x14ac:dyDescent="0.25">
      <c r="A186" s="17">
        <v>45842</v>
      </c>
      <c r="B186" s="13">
        <v>11060</v>
      </c>
      <c r="C186" s="13">
        <v>60</v>
      </c>
      <c r="D186" s="79">
        <f t="shared" si="6"/>
        <v>6636</v>
      </c>
      <c r="E186" s="13">
        <v>3.5</v>
      </c>
      <c r="F186" s="79">
        <f t="shared" si="7"/>
        <v>387.1</v>
      </c>
      <c r="G186" s="13">
        <v>2102</v>
      </c>
      <c r="H186" s="13">
        <v>206</v>
      </c>
      <c r="I186" s="41">
        <f t="shared" si="8"/>
        <v>98.001902949571843</v>
      </c>
      <c r="J186" s="13">
        <v>5.24</v>
      </c>
      <c r="K186" s="36">
        <v>34</v>
      </c>
      <c r="L186" s="13">
        <v>0.52</v>
      </c>
      <c r="M186" s="14">
        <v>189</v>
      </c>
      <c r="N186" s="35">
        <v>9.8000000000000007</v>
      </c>
      <c r="O186" s="14">
        <v>270</v>
      </c>
      <c r="P186" s="47">
        <v>32</v>
      </c>
      <c r="Q186" s="14">
        <v>254</v>
      </c>
      <c r="R186" s="8">
        <v>7.4</v>
      </c>
      <c r="S186" s="13">
        <v>7.52</v>
      </c>
    </row>
    <row r="187" spans="1:19" x14ac:dyDescent="0.25">
      <c r="A187" s="17">
        <v>45843</v>
      </c>
      <c r="B187" s="13">
        <v>10921</v>
      </c>
      <c r="C187" s="13">
        <v>60</v>
      </c>
      <c r="D187" s="79">
        <f t="shared" si="6"/>
        <v>6552.6</v>
      </c>
      <c r="E187" s="13">
        <v>3.4</v>
      </c>
      <c r="F187" s="79">
        <f t="shared" si="7"/>
        <v>371.31400000000002</v>
      </c>
      <c r="G187" s="13">
        <v>2073</v>
      </c>
      <c r="H187" s="13">
        <v>222</v>
      </c>
      <c r="I187" s="41">
        <f t="shared" si="8"/>
        <v>107.09117221418235</v>
      </c>
      <c r="J187" s="13">
        <v>4.9000000000000004</v>
      </c>
      <c r="K187" s="36">
        <v>32</v>
      </c>
      <c r="L187" s="13">
        <v>0.48</v>
      </c>
      <c r="M187" s="14">
        <v>176</v>
      </c>
      <c r="N187" s="35">
        <v>14.4</v>
      </c>
      <c r="O187" s="14">
        <v>470</v>
      </c>
      <c r="P187" s="48">
        <v>45.5</v>
      </c>
      <c r="Q187" s="14">
        <v>250</v>
      </c>
      <c r="R187" s="8">
        <v>14</v>
      </c>
      <c r="S187" s="13">
        <v>7.47</v>
      </c>
    </row>
    <row r="188" spans="1:19" x14ac:dyDescent="0.25">
      <c r="A188" s="17">
        <v>45844</v>
      </c>
      <c r="B188" s="13">
        <v>10932</v>
      </c>
      <c r="C188" s="13">
        <v>60</v>
      </c>
      <c r="D188" s="79">
        <f t="shared" si="6"/>
        <v>6559.2</v>
      </c>
      <c r="E188" s="13">
        <v>3.4</v>
      </c>
      <c r="F188" s="79">
        <f t="shared" si="7"/>
        <v>371.68799999999993</v>
      </c>
      <c r="G188" s="13">
        <v>2090</v>
      </c>
      <c r="H188" s="13">
        <v>213</v>
      </c>
      <c r="I188" s="41">
        <f t="shared" si="8"/>
        <v>101.91387559808612</v>
      </c>
      <c r="J188" s="13">
        <v>4.8</v>
      </c>
      <c r="K188" s="36">
        <v>32</v>
      </c>
      <c r="L188" s="13">
        <v>0.81</v>
      </c>
      <c r="M188" s="14">
        <v>170</v>
      </c>
      <c r="N188" s="35">
        <v>15.5</v>
      </c>
      <c r="O188" s="14">
        <v>490</v>
      </c>
      <c r="P188" s="48">
        <v>37</v>
      </c>
      <c r="Q188" s="14">
        <v>247</v>
      </c>
      <c r="R188" s="8">
        <v>11</v>
      </c>
      <c r="S188" s="13">
        <v>7.53</v>
      </c>
    </row>
    <row r="189" spans="1:19" x14ac:dyDescent="0.25">
      <c r="A189" s="17">
        <v>45845</v>
      </c>
      <c r="B189" s="13">
        <v>10657</v>
      </c>
      <c r="C189" s="13">
        <v>60</v>
      </c>
      <c r="D189" s="79">
        <f t="shared" si="6"/>
        <v>6394.2</v>
      </c>
      <c r="E189" s="13">
        <v>3.5</v>
      </c>
      <c r="F189" s="79">
        <f t="shared" si="7"/>
        <v>372.995</v>
      </c>
      <c r="G189" s="13">
        <v>2085</v>
      </c>
      <c r="H189" s="13">
        <v>226</v>
      </c>
      <c r="I189" s="41">
        <f t="shared" si="8"/>
        <v>108.39328537170263</v>
      </c>
      <c r="J189" s="13">
        <v>5.3</v>
      </c>
      <c r="K189" s="36">
        <v>32</v>
      </c>
      <c r="L189" s="13">
        <v>0.43</v>
      </c>
      <c r="M189" s="14">
        <v>197</v>
      </c>
      <c r="N189" s="35">
        <v>15.6</v>
      </c>
      <c r="O189" s="14">
        <v>380</v>
      </c>
      <c r="P189" s="47">
        <v>38</v>
      </c>
      <c r="Q189" s="14">
        <v>253</v>
      </c>
      <c r="R189" s="8">
        <v>12</v>
      </c>
      <c r="S189" s="13">
        <v>7.5</v>
      </c>
    </row>
    <row r="190" spans="1:19" x14ac:dyDescent="0.25">
      <c r="A190" s="17">
        <v>45846</v>
      </c>
      <c r="B190" s="13">
        <v>10671</v>
      </c>
      <c r="C190" s="13">
        <v>60</v>
      </c>
      <c r="D190" s="79">
        <f t="shared" si="6"/>
        <v>6402.6</v>
      </c>
      <c r="E190" s="13">
        <v>3.5</v>
      </c>
      <c r="F190" s="79">
        <f t="shared" si="7"/>
        <v>373.48500000000001</v>
      </c>
      <c r="G190" s="13">
        <v>2098</v>
      </c>
      <c r="H190" s="13">
        <v>232</v>
      </c>
      <c r="I190" s="41">
        <f t="shared" si="8"/>
        <v>110.5815061963775</v>
      </c>
      <c r="J190" s="13">
        <v>4.95</v>
      </c>
      <c r="K190" s="36">
        <v>29.6</v>
      </c>
      <c r="L190" s="13">
        <v>0.39</v>
      </c>
      <c r="M190" s="14">
        <v>194</v>
      </c>
      <c r="N190" s="35">
        <v>13.9</v>
      </c>
      <c r="O190" s="14">
        <v>360</v>
      </c>
      <c r="P190" s="48">
        <v>34.1</v>
      </c>
      <c r="Q190" s="14">
        <v>251</v>
      </c>
      <c r="R190" s="8">
        <v>10.7</v>
      </c>
      <c r="S190" s="13">
        <v>7.52</v>
      </c>
    </row>
    <row r="191" spans="1:19" x14ac:dyDescent="0.25">
      <c r="A191" s="17">
        <v>45847</v>
      </c>
      <c r="B191" s="13">
        <v>11057</v>
      </c>
      <c r="C191" s="13">
        <v>60</v>
      </c>
      <c r="D191" s="79">
        <f t="shared" si="6"/>
        <v>6634.2</v>
      </c>
      <c r="E191" s="13">
        <v>3.6</v>
      </c>
      <c r="F191" s="79">
        <f t="shared" si="7"/>
        <v>398.05200000000002</v>
      </c>
      <c r="G191" s="13">
        <v>2078</v>
      </c>
      <c r="H191" s="13">
        <v>222</v>
      </c>
      <c r="I191" s="41">
        <f t="shared" si="8"/>
        <v>106.8334937439846</v>
      </c>
      <c r="J191" s="13">
        <v>5.2</v>
      </c>
      <c r="K191" s="36">
        <v>33</v>
      </c>
      <c r="L191" s="13">
        <v>0.55000000000000004</v>
      </c>
      <c r="M191" s="14">
        <v>182</v>
      </c>
      <c r="N191" s="35">
        <v>15.5</v>
      </c>
      <c r="O191" s="14">
        <v>460</v>
      </c>
      <c r="P191" s="47">
        <v>44</v>
      </c>
      <c r="Q191" s="14">
        <v>248</v>
      </c>
      <c r="R191" s="8">
        <v>11.3</v>
      </c>
      <c r="S191" s="13">
        <v>7.46</v>
      </c>
    </row>
    <row r="192" spans="1:19" x14ac:dyDescent="0.25">
      <c r="A192" s="17">
        <v>45848</v>
      </c>
      <c r="B192" s="13">
        <v>11074</v>
      </c>
      <c r="C192" s="13">
        <v>60</v>
      </c>
      <c r="D192" s="79">
        <f t="shared" si="6"/>
        <v>6644.4</v>
      </c>
      <c r="E192" s="57">
        <v>3.5</v>
      </c>
      <c r="F192" s="79">
        <f>(E192*B192)/100</f>
        <v>387.59</v>
      </c>
      <c r="G192" s="13">
        <v>2094</v>
      </c>
      <c r="H192" s="13">
        <v>211</v>
      </c>
      <c r="I192" s="41">
        <f t="shared" si="8"/>
        <v>100.76408787010506</v>
      </c>
      <c r="J192" s="13">
        <v>5</v>
      </c>
      <c r="K192" s="36">
        <v>33</v>
      </c>
      <c r="L192" s="13">
        <v>0.54</v>
      </c>
      <c r="M192" s="14">
        <v>187</v>
      </c>
      <c r="N192" s="35">
        <v>15.2</v>
      </c>
      <c r="O192" s="14">
        <v>480</v>
      </c>
      <c r="P192" s="47">
        <v>48</v>
      </c>
      <c r="Q192" s="14">
        <v>252</v>
      </c>
      <c r="R192" s="8">
        <v>11.1</v>
      </c>
      <c r="S192" s="13">
        <v>7.54</v>
      </c>
    </row>
    <row r="193" spans="1:19" x14ac:dyDescent="0.25">
      <c r="A193" s="17">
        <v>45849</v>
      </c>
      <c r="B193" s="13">
        <v>10794</v>
      </c>
      <c r="C193" s="13">
        <v>60</v>
      </c>
      <c r="D193" s="79">
        <f t="shared" si="6"/>
        <v>6476.4</v>
      </c>
      <c r="E193" s="13">
        <v>3.5</v>
      </c>
      <c r="F193" s="79">
        <f>(E193*B193)/100</f>
        <v>377.79</v>
      </c>
      <c r="G193" s="13">
        <v>2076</v>
      </c>
      <c r="H193" s="13">
        <v>213</v>
      </c>
      <c r="I193" s="41">
        <f t="shared" si="8"/>
        <v>102.60115606936417</v>
      </c>
      <c r="J193" s="13">
        <v>5.14</v>
      </c>
      <c r="K193" s="36">
        <v>32</v>
      </c>
      <c r="L193" s="13">
        <v>0.45</v>
      </c>
      <c r="M193" s="14">
        <v>170</v>
      </c>
      <c r="N193" s="35">
        <v>14.6</v>
      </c>
      <c r="O193" s="14">
        <v>330</v>
      </c>
      <c r="P193" s="47">
        <v>40</v>
      </c>
      <c r="Q193" s="14">
        <v>246</v>
      </c>
      <c r="R193" s="8">
        <v>11</v>
      </c>
      <c r="S193" s="13">
        <v>7.5</v>
      </c>
    </row>
    <row r="194" spans="1:19" x14ac:dyDescent="0.25">
      <c r="A194" s="17">
        <v>45850</v>
      </c>
      <c r="B194" s="13">
        <v>10797</v>
      </c>
      <c r="C194" s="13">
        <v>60</v>
      </c>
      <c r="D194" s="79">
        <f t="shared" ref="D194:D257" si="9">(C194*B194)/100</f>
        <v>6478.2</v>
      </c>
      <c r="E194" s="13">
        <v>3.5</v>
      </c>
      <c r="F194" s="79">
        <f t="shared" ref="F194:F257" si="10">(E194*B194)/100</f>
        <v>377.89499999999998</v>
      </c>
      <c r="G194" s="13">
        <v>2071</v>
      </c>
      <c r="H194" s="13">
        <v>221</v>
      </c>
      <c r="I194" s="41">
        <f t="shared" si="8"/>
        <v>106.71173346209561</v>
      </c>
      <c r="J194" s="13">
        <v>4.8</v>
      </c>
      <c r="K194" s="36">
        <v>32</v>
      </c>
      <c r="L194" s="13">
        <v>0.49</v>
      </c>
      <c r="M194" s="14">
        <v>190</v>
      </c>
      <c r="N194" s="35">
        <v>14.4</v>
      </c>
      <c r="O194" s="14">
        <v>422</v>
      </c>
      <c r="P194" s="47">
        <v>39</v>
      </c>
      <c r="Q194" s="14">
        <v>250</v>
      </c>
      <c r="R194" s="8">
        <v>11.1</v>
      </c>
      <c r="S194" s="13">
        <v>7.51</v>
      </c>
    </row>
    <row r="195" spans="1:19" x14ac:dyDescent="0.25">
      <c r="A195" s="17">
        <v>45851</v>
      </c>
      <c r="B195" s="13">
        <v>10599</v>
      </c>
      <c r="C195" s="13">
        <v>60</v>
      </c>
      <c r="D195" s="79">
        <f t="shared" si="9"/>
        <v>6359.4</v>
      </c>
      <c r="E195" s="13">
        <v>3.4</v>
      </c>
      <c r="F195" s="79">
        <f t="shared" si="10"/>
        <v>360.36599999999999</v>
      </c>
      <c r="G195" s="13">
        <v>2072</v>
      </c>
      <c r="H195" s="13">
        <v>209</v>
      </c>
      <c r="I195" s="41">
        <f t="shared" ref="I195:I258" si="11">(H195*1000)/G195</f>
        <v>100.86872586872587</v>
      </c>
      <c r="J195" s="13">
        <v>5.2</v>
      </c>
      <c r="K195" s="36">
        <v>33.700000000000003</v>
      </c>
      <c r="L195" s="13">
        <v>0.85</v>
      </c>
      <c r="M195" s="14">
        <v>195</v>
      </c>
      <c r="N195" s="35">
        <v>16.100000000000001</v>
      </c>
      <c r="O195" s="14">
        <v>540</v>
      </c>
      <c r="P195" s="47">
        <v>44</v>
      </c>
      <c r="Q195" s="14">
        <v>254</v>
      </c>
      <c r="R195" s="8">
        <v>13</v>
      </c>
      <c r="S195" s="13">
        <v>7</v>
      </c>
    </row>
    <row r="196" spans="1:19" x14ac:dyDescent="0.25">
      <c r="A196" s="17">
        <v>45852</v>
      </c>
      <c r="B196" s="13">
        <v>10546</v>
      </c>
      <c r="C196" s="13">
        <v>60</v>
      </c>
      <c r="D196" s="79">
        <f t="shared" si="9"/>
        <v>6327.6</v>
      </c>
      <c r="E196" s="13">
        <v>3.6</v>
      </c>
      <c r="F196" s="79">
        <f t="shared" si="10"/>
        <v>379.65600000000001</v>
      </c>
      <c r="G196" s="13">
        <v>2080</v>
      </c>
      <c r="H196" s="13">
        <v>232</v>
      </c>
      <c r="I196" s="41">
        <f t="shared" si="11"/>
        <v>111.53846153846153</v>
      </c>
      <c r="J196" s="13">
        <v>4.95</v>
      </c>
      <c r="K196" s="36">
        <v>33</v>
      </c>
      <c r="L196" s="13">
        <v>0.55000000000000004</v>
      </c>
      <c r="M196" s="14">
        <v>164</v>
      </c>
      <c r="N196" s="35">
        <v>15.3</v>
      </c>
      <c r="O196" s="14">
        <v>255</v>
      </c>
      <c r="P196" s="47">
        <v>38</v>
      </c>
      <c r="Q196" s="14">
        <v>249</v>
      </c>
      <c r="R196" s="8">
        <v>11.6</v>
      </c>
      <c r="S196" s="13">
        <v>7.9</v>
      </c>
    </row>
    <row r="197" spans="1:19" x14ac:dyDescent="0.25">
      <c r="A197" s="17">
        <v>45853</v>
      </c>
      <c r="B197" s="13">
        <v>10682</v>
      </c>
      <c r="C197" s="13">
        <v>60</v>
      </c>
      <c r="D197" s="79">
        <f t="shared" si="9"/>
        <v>6409.2</v>
      </c>
      <c r="E197" s="13">
        <v>3.3</v>
      </c>
      <c r="F197" s="79">
        <f t="shared" si="10"/>
        <v>352.50599999999997</v>
      </c>
      <c r="G197" s="13">
        <v>2102</v>
      </c>
      <c r="H197" s="13">
        <v>216</v>
      </c>
      <c r="I197" s="41">
        <f t="shared" si="11"/>
        <v>102.7592768791627</v>
      </c>
      <c r="J197" s="13">
        <v>5.3</v>
      </c>
      <c r="K197" s="36">
        <v>32</v>
      </c>
      <c r="L197" s="13">
        <v>0.81</v>
      </c>
      <c r="M197" s="14">
        <v>168</v>
      </c>
      <c r="N197" s="35">
        <v>14.4</v>
      </c>
      <c r="O197" s="14">
        <v>360</v>
      </c>
      <c r="P197" s="48">
        <v>36.799999999999997</v>
      </c>
      <c r="Q197" s="14">
        <v>251</v>
      </c>
      <c r="R197" s="8">
        <v>9.6</v>
      </c>
      <c r="S197" s="13">
        <v>7</v>
      </c>
    </row>
    <row r="198" spans="1:19" x14ac:dyDescent="0.25">
      <c r="A198" s="17">
        <v>45854</v>
      </c>
      <c r="B198" s="13">
        <v>10641</v>
      </c>
      <c r="C198" s="13">
        <v>60</v>
      </c>
      <c r="D198" s="79">
        <f t="shared" si="9"/>
        <v>6384.6</v>
      </c>
      <c r="E198" s="13">
        <v>3.5</v>
      </c>
      <c r="F198" s="79">
        <f t="shared" si="10"/>
        <v>372.435</v>
      </c>
      <c r="G198" s="13">
        <v>2084</v>
      </c>
      <c r="H198" s="13">
        <v>238</v>
      </c>
      <c r="I198" s="41">
        <f t="shared" si="11"/>
        <v>114.20345489443378</v>
      </c>
      <c r="J198" s="13">
        <v>4.8</v>
      </c>
      <c r="K198" s="36">
        <v>32</v>
      </c>
      <c r="L198" s="13">
        <v>0.62</v>
      </c>
      <c r="M198" s="14">
        <v>174</v>
      </c>
      <c r="N198" s="35">
        <v>15</v>
      </c>
      <c r="O198" s="14">
        <v>341</v>
      </c>
      <c r="P198" s="48">
        <v>43.5</v>
      </c>
      <c r="Q198" s="14">
        <v>247</v>
      </c>
      <c r="R198" s="8">
        <v>10.3</v>
      </c>
      <c r="S198" s="13">
        <v>7.94</v>
      </c>
    </row>
    <row r="199" spans="1:19" x14ac:dyDescent="0.25">
      <c r="A199" s="17">
        <v>45855</v>
      </c>
      <c r="B199" s="13">
        <v>10671</v>
      </c>
      <c r="C199" s="13">
        <v>60</v>
      </c>
      <c r="D199" s="79">
        <f t="shared" si="9"/>
        <v>6402.6</v>
      </c>
      <c r="E199" s="13">
        <v>3.6</v>
      </c>
      <c r="F199" s="79">
        <f t="shared" si="10"/>
        <v>384.15600000000001</v>
      </c>
      <c r="G199" s="13">
        <v>2104</v>
      </c>
      <c r="H199" s="13">
        <v>198</v>
      </c>
      <c r="I199" s="41">
        <f t="shared" si="11"/>
        <v>94.106463878326991</v>
      </c>
      <c r="J199" s="13">
        <v>5.2</v>
      </c>
      <c r="K199" s="36">
        <v>31</v>
      </c>
      <c r="L199" s="13">
        <v>0.3</v>
      </c>
      <c r="M199" s="14">
        <v>168</v>
      </c>
      <c r="N199" s="35">
        <v>9</v>
      </c>
      <c r="O199" s="14">
        <v>344</v>
      </c>
      <c r="P199" s="47">
        <v>28</v>
      </c>
      <c r="Q199" s="14">
        <v>253</v>
      </c>
      <c r="R199" s="8">
        <v>8</v>
      </c>
      <c r="S199" s="13">
        <v>7.9</v>
      </c>
    </row>
    <row r="200" spans="1:19" x14ac:dyDescent="0.25">
      <c r="A200" s="17">
        <v>45856</v>
      </c>
      <c r="B200" s="13">
        <v>10922</v>
      </c>
      <c r="C200" s="13">
        <v>60</v>
      </c>
      <c r="D200" s="79">
        <f t="shared" si="9"/>
        <v>6553.2</v>
      </c>
      <c r="E200" s="13">
        <v>3.6</v>
      </c>
      <c r="F200" s="79">
        <f t="shared" si="10"/>
        <v>393.19200000000006</v>
      </c>
      <c r="G200" s="13">
        <v>2097</v>
      </c>
      <c r="H200" s="13">
        <v>237</v>
      </c>
      <c r="I200" s="41">
        <f t="shared" si="11"/>
        <v>113.01859799713877</v>
      </c>
      <c r="J200" s="13">
        <v>4.92</v>
      </c>
      <c r="K200" s="36">
        <v>31.5</v>
      </c>
      <c r="L200" s="13">
        <v>0.9</v>
      </c>
      <c r="M200" s="14">
        <v>192</v>
      </c>
      <c r="N200" s="35">
        <v>14.3</v>
      </c>
      <c r="O200" s="14">
        <v>362</v>
      </c>
      <c r="P200" s="47">
        <v>39.799999999999997</v>
      </c>
      <c r="Q200" s="14">
        <v>248</v>
      </c>
      <c r="R200" s="8">
        <v>9.1999999999999993</v>
      </c>
      <c r="S200" s="13">
        <v>7.92</v>
      </c>
    </row>
    <row r="201" spans="1:19" x14ac:dyDescent="0.25">
      <c r="A201" s="17">
        <v>45857</v>
      </c>
      <c r="B201" s="13">
        <v>10932</v>
      </c>
      <c r="C201" s="13">
        <v>60</v>
      </c>
      <c r="D201" s="79">
        <f t="shared" si="9"/>
        <v>6559.2</v>
      </c>
      <c r="E201" s="13">
        <v>3.4</v>
      </c>
      <c r="F201" s="79">
        <f t="shared" si="10"/>
        <v>371.68799999999993</v>
      </c>
      <c r="G201" s="13">
        <v>2066</v>
      </c>
      <c r="H201" s="13">
        <v>200</v>
      </c>
      <c r="I201" s="41">
        <f t="shared" si="11"/>
        <v>96.805421103581807</v>
      </c>
      <c r="J201" s="13">
        <v>5.0999999999999996</v>
      </c>
      <c r="K201" s="36">
        <v>32</v>
      </c>
      <c r="L201" s="13">
        <v>0.8</v>
      </c>
      <c r="M201" s="14">
        <v>183</v>
      </c>
      <c r="N201" s="35">
        <v>10</v>
      </c>
      <c r="O201" s="14">
        <v>360</v>
      </c>
      <c r="P201" s="47">
        <v>31</v>
      </c>
      <c r="Q201" s="14">
        <v>252</v>
      </c>
      <c r="R201" s="8">
        <v>7.1</v>
      </c>
      <c r="S201" s="13">
        <v>7.87</v>
      </c>
    </row>
    <row r="202" spans="1:19" x14ac:dyDescent="0.25">
      <c r="A202" s="17">
        <v>45858</v>
      </c>
      <c r="B202" s="13">
        <v>10666</v>
      </c>
      <c r="C202" s="13">
        <v>60</v>
      </c>
      <c r="D202" s="79">
        <f t="shared" si="9"/>
        <v>6399.6</v>
      </c>
      <c r="E202" s="13">
        <v>3.3</v>
      </c>
      <c r="F202" s="79">
        <f t="shared" si="10"/>
        <v>351.97799999999995</v>
      </c>
      <c r="G202" s="13">
        <v>2076</v>
      </c>
      <c r="H202" s="13">
        <v>214</v>
      </c>
      <c r="I202" s="41">
        <f t="shared" si="11"/>
        <v>103.08285163776493</v>
      </c>
      <c r="J202" s="13">
        <v>4.9000000000000004</v>
      </c>
      <c r="K202" s="36">
        <v>34</v>
      </c>
      <c r="L202" s="13">
        <v>0.88</v>
      </c>
      <c r="M202" s="14">
        <v>190</v>
      </c>
      <c r="N202" s="35">
        <v>15.7</v>
      </c>
      <c r="O202" s="14">
        <v>362</v>
      </c>
      <c r="P202" s="47">
        <v>44</v>
      </c>
      <c r="Q202" s="14">
        <v>246</v>
      </c>
      <c r="R202" s="8">
        <v>9</v>
      </c>
      <c r="S202" s="13">
        <v>7.95</v>
      </c>
    </row>
    <row r="203" spans="1:19" x14ac:dyDescent="0.25">
      <c r="A203" s="17">
        <v>45859</v>
      </c>
      <c r="B203" s="13">
        <v>10666</v>
      </c>
      <c r="C203" s="13">
        <v>60</v>
      </c>
      <c r="D203" s="79">
        <f t="shared" si="9"/>
        <v>6399.6</v>
      </c>
      <c r="E203" s="13">
        <v>3.5</v>
      </c>
      <c r="F203" s="79">
        <f t="shared" si="10"/>
        <v>373.31</v>
      </c>
      <c r="G203" s="13">
        <v>2093</v>
      </c>
      <c r="H203" s="13">
        <v>210</v>
      </c>
      <c r="I203" s="41">
        <f t="shared" si="11"/>
        <v>100.33444816053512</v>
      </c>
      <c r="J203" s="13">
        <v>5.05</v>
      </c>
      <c r="K203" s="36">
        <v>32</v>
      </c>
      <c r="L203" s="13">
        <v>0.85</v>
      </c>
      <c r="M203" s="14">
        <v>185</v>
      </c>
      <c r="N203" s="35">
        <v>14</v>
      </c>
      <c r="O203" s="14">
        <v>350</v>
      </c>
      <c r="P203" s="47">
        <v>44</v>
      </c>
      <c r="Q203" s="14">
        <v>251</v>
      </c>
      <c r="R203" s="8">
        <v>9.1</v>
      </c>
      <c r="S203" s="13">
        <v>7.9</v>
      </c>
    </row>
    <row r="204" spans="1:19" x14ac:dyDescent="0.25">
      <c r="A204" s="17">
        <v>45860</v>
      </c>
      <c r="B204" s="13">
        <v>10682</v>
      </c>
      <c r="C204" s="13">
        <v>60</v>
      </c>
      <c r="D204" s="79">
        <f t="shared" si="9"/>
        <v>6409.2</v>
      </c>
      <c r="E204" s="13">
        <v>3.5</v>
      </c>
      <c r="F204" s="79">
        <f t="shared" si="10"/>
        <v>373.87</v>
      </c>
      <c r="G204" s="13">
        <v>2101</v>
      </c>
      <c r="H204" s="13">
        <v>226</v>
      </c>
      <c r="I204" s="41">
        <f t="shared" si="11"/>
        <v>107.56782484531176</v>
      </c>
      <c r="J204" s="13">
        <v>4.8</v>
      </c>
      <c r="K204" s="36">
        <v>33</v>
      </c>
      <c r="L204" s="13">
        <v>0.8</v>
      </c>
      <c r="M204" s="14">
        <v>200</v>
      </c>
      <c r="N204" s="35">
        <v>15</v>
      </c>
      <c r="O204" s="14">
        <v>366</v>
      </c>
      <c r="P204" s="47">
        <v>42</v>
      </c>
      <c r="Q204" s="14">
        <v>249</v>
      </c>
      <c r="R204" s="8">
        <v>11</v>
      </c>
      <c r="S204" s="13">
        <v>7.91</v>
      </c>
    </row>
    <row r="205" spans="1:19" x14ac:dyDescent="0.25">
      <c r="A205" s="17">
        <v>45861</v>
      </c>
      <c r="B205" s="13">
        <v>10932</v>
      </c>
      <c r="C205" s="13">
        <v>60</v>
      </c>
      <c r="D205" s="79">
        <f t="shared" si="9"/>
        <v>6559.2</v>
      </c>
      <c r="E205" s="13">
        <v>3.5</v>
      </c>
      <c r="F205" s="79">
        <f t="shared" si="10"/>
        <v>382.62</v>
      </c>
      <c r="G205" s="13">
        <v>2068</v>
      </c>
      <c r="H205" s="13">
        <v>227</v>
      </c>
      <c r="I205" s="41">
        <f t="shared" si="11"/>
        <v>109.7678916827853</v>
      </c>
      <c r="J205" s="13">
        <v>4.5</v>
      </c>
      <c r="K205" s="36">
        <v>32</v>
      </c>
      <c r="L205" s="13">
        <v>0.37</v>
      </c>
      <c r="M205" s="14">
        <v>180</v>
      </c>
      <c r="N205" s="35">
        <v>16</v>
      </c>
      <c r="O205" s="14">
        <v>350</v>
      </c>
      <c r="P205" s="47">
        <v>45</v>
      </c>
      <c r="Q205" s="14">
        <v>254</v>
      </c>
      <c r="R205" s="8">
        <v>10.1</v>
      </c>
      <c r="S205" s="13">
        <v>7.87</v>
      </c>
    </row>
    <row r="206" spans="1:19" x14ac:dyDescent="0.25">
      <c r="A206" s="17">
        <v>45862</v>
      </c>
      <c r="B206" s="13">
        <v>10987</v>
      </c>
      <c r="C206" s="13">
        <v>60</v>
      </c>
      <c r="D206" s="79">
        <f t="shared" si="9"/>
        <v>6592.2</v>
      </c>
      <c r="E206" s="13">
        <v>3.4</v>
      </c>
      <c r="F206" s="79">
        <f t="shared" si="10"/>
        <v>373.55799999999994</v>
      </c>
      <c r="G206" s="13">
        <v>2081</v>
      </c>
      <c r="H206" s="13">
        <v>215</v>
      </c>
      <c r="I206" s="41">
        <f t="shared" si="11"/>
        <v>103.31571359923115</v>
      </c>
      <c r="J206" s="13">
        <v>4.9400000000000004</v>
      </c>
      <c r="K206" s="36">
        <v>34</v>
      </c>
      <c r="L206" s="13">
        <v>0.57999999999999996</v>
      </c>
      <c r="M206" s="14">
        <v>200</v>
      </c>
      <c r="N206" s="35">
        <v>15.5</v>
      </c>
      <c r="O206" s="14">
        <v>361</v>
      </c>
      <c r="P206" s="48">
        <v>35</v>
      </c>
      <c r="Q206" s="14">
        <v>247</v>
      </c>
      <c r="R206" s="8">
        <v>11</v>
      </c>
      <c r="S206" s="13">
        <v>7.93</v>
      </c>
    </row>
    <row r="207" spans="1:19" x14ac:dyDescent="0.25">
      <c r="A207" s="17">
        <v>45863</v>
      </c>
      <c r="B207" s="13">
        <v>10670</v>
      </c>
      <c r="C207" s="13">
        <v>60</v>
      </c>
      <c r="D207" s="79">
        <f t="shared" si="9"/>
        <v>6402</v>
      </c>
      <c r="E207" s="13">
        <v>3.4</v>
      </c>
      <c r="F207" s="79">
        <f t="shared" si="10"/>
        <v>362.78</v>
      </c>
      <c r="G207" s="13">
        <v>2090</v>
      </c>
      <c r="H207" s="13">
        <v>208</v>
      </c>
      <c r="I207" s="41">
        <f t="shared" si="11"/>
        <v>99.52153110047847</v>
      </c>
      <c r="J207" s="13">
        <v>4.7</v>
      </c>
      <c r="K207" s="36">
        <v>29</v>
      </c>
      <c r="L207" s="13">
        <v>0.51</v>
      </c>
      <c r="M207" s="14">
        <v>169</v>
      </c>
      <c r="N207" s="35">
        <v>12.9</v>
      </c>
      <c r="O207" s="14">
        <v>364</v>
      </c>
      <c r="P207" s="48">
        <v>36.799999999999997</v>
      </c>
      <c r="Q207" s="14">
        <v>250</v>
      </c>
      <c r="R207" s="8">
        <v>9.5</v>
      </c>
      <c r="S207" s="13">
        <v>7.9</v>
      </c>
    </row>
    <row r="208" spans="1:19" x14ac:dyDescent="0.25">
      <c r="A208" s="17">
        <v>45864</v>
      </c>
      <c r="B208" s="13">
        <v>10682</v>
      </c>
      <c r="C208" s="13">
        <v>60</v>
      </c>
      <c r="D208" s="79">
        <f t="shared" si="9"/>
        <v>6409.2</v>
      </c>
      <c r="E208" s="13">
        <v>3.6</v>
      </c>
      <c r="F208" s="79">
        <f t="shared" si="10"/>
        <v>384.55200000000002</v>
      </c>
      <c r="G208" s="13">
        <v>2093</v>
      </c>
      <c r="H208" s="13">
        <v>219</v>
      </c>
      <c r="I208" s="41">
        <f t="shared" si="11"/>
        <v>104.63449593884377</v>
      </c>
      <c r="J208" s="13">
        <v>4.5999999999999996</v>
      </c>
      <c r="K208" s="36">
        <v>31</v>
      </c>
      <c r="L208" s="13">
        <v>0.52</v>
      </c>
      <c r="M208" s="14">
        <v>165</v>
      </c>
      <c r="N208" s="35">
        <v>14.6</v>
      </c>
      <c r="O208" s="14">
        <v>352</v>
      </c>
      <c r="P208" s="48">
        <v>37.4</v>
      </c>
      <c r="Q208" s="14">
        <v>253</v>
      </c>
      <c r="R208" s="8">
        <v>10.9</v>
      </c>
      <c r="S208" s="13">
        <v>7.92</v>
      </c>
    </row>
    <row r="209" spans="1:19" x14ac:dyDescent="0.25">
      <c r="A209" s="17">
        <v>45865</v>
      </c>
      <c r="B209" s="13">
        <v>10670</v>
      </c>
      <c r="C209" s="13">
        <v>60</v>
      </c>
      <c r="D209" s="79">
        <f t="shared" si="9"/>
        <v>6402</v>
      </c>
      <c r="E209" s="13">
        <v>3.3</v>
      </c>
      <c r="F209" s="79">
        <f t="shared" si="10"/>
        <v>352.11</v>
      </c>
      <c r="G209" s="13">
        <v>2075</v>
      </c>
      <c r="H209" s="13">
        <v>211</v>
      </c>
      <c r="I209" s="41">
        <f t="shared" si="11"/>
        <v>101.68674698795181</v>
      </c>
      <c r="J209" s="13">
        <v>5.0999999999999996</v>
      </c>
      <c r="K209" s="36">
        <v>32</v>
      </c>
      <c r="L209" s="13">
        <v>0.31</v>
      </c>
      <c r="M209" s="14">
        <v>171</v>
      </c>
      <c r="N209" s="35">
        <v>14</v>
      </c>
      <c r="O209" s="14">
        <v>365</v>
      </c>
      <c r="P209" s="47">
        <v>35</v>
      </c>
      <c r="Q209" s="14">
        <v>245</v>
      </c>
      <c r="R209" s="8">
        <v>8.8000000000000007</v>
      </c>
      <c r="S209" s="13">
        <v>7.86</v>
      </c>
    </row>
    <row r="210" spans="1:19" x14ac:dyDescent="0.25">
      <c r="A210" s="17">
        <v>45866</v>
      </c>
      <c r="B210" s="13">
        <v>10682</v>
      </c>
      <c r="C210" s="13">
        <v>60</v>
      </c>
      <c r="D210" s="79">
        <f t="shared" si="9"/>
        <v>6409.2</v>
      </c>
      <c r="E210" s="13">
        <v>3.5</v>
      </c>
      <c r="F210" s="79">
        <f t="shared" si="10"/>
        <v>373.87</v>
      </c>
      <c r="G210" s="13">
        <v>2080</v>
      </c>
      <c r="H210" s="13">
        <v>218</v>
      </c>
      <c r="I210" s="41">
        <f t="shared" si="11"/>
        <v>104.80769230769231</v>
      </c>
      <c r="J210" s="13">
        <v>4.75</v>
      </c>
      <c r="K210" s="36">
        <v>32</v>
      </c>
      <c r="L210" s="13">
        <v>0.55000000000000004</v>
      </c>
      <c r="M210" s="14">
        <v>192</v>
      </c>
      <c r="N210" s="35">
        <v>15</v>
      </c>
      <c r="O210" s="14">
        <v>360</v>
      </c>
      <c r="P210" s="47">
        <v>38</v>
      </c>
      <c r="Q210" s="14">
        <v>251</v>
      </c>
      <c r="R210" s="8">
        <v>9</v>
      </c>
      <c r="S210" s="13">
        <v>7.94</v>
      </c>
    </row>
    <row r="211" spans="1:19" x14ac:dyDescent="0.25">
      <c r="A211" s="17">
        <v>45867</v>
      </c>
      <c r="B211" s="13">
        <v>10666</v>
      </c>
      <c r="C211" s="13">
        <v>60</v>
      </c>
      <c r="D211" s="79">
        <f t="shared" si="9"/>
        <v>6399.6</v>
      </c>
      <c r="E211" s="13">
        <v>3.6</v>
      </c>
      <c r="F211" s="79">
        <f t="shared" si="10"/>
        <v>383.976</v>
      </c>
      <c r="G211" s="13">
        <v>2079</v>
      </c>
      <c r="H211" s="13">
        <v>233</v>
      </c>
      <c r="I211" s="41">
        <f t="shared" si="11"/>
        <v>112.07311207311207</v>
      </c>
      <c r="J211" s="13">
        <v>5</v>
      </c>
      <c r="K211" s="36">
        <v>32</v>
      </c>
      <c r="L211" s="13">
        <v>0.89</v>
      </c>
      <c r="M211" s="14">
        <v>172</v>
      </c>
      <c r="N211" s="35">
        <v>14.4</v>
      </c>
      <c r="O211" s="14">
        <v>342</v>
      </c>
      <c r="P211" s="47">
        <v>39</v>
      </c>
      <c r="Q211" s="14">
        <v>248</v>
      </c>
      <c r="R211" s="8">
        <v>9.6</v>
      </c>
      <c r="S211" s="13">
        <v>7.9</v>
      </c>
    </row>
    <row r="212" spans="1:19" x14ac:dyDescent="0.25">
      <c r="A212" s="17">
        <v>45868</v>
      </c>
      <c r="B212" s="13">
        <v>10682</v>
      </c>
      <c r="C212" s="13">
        <v>60</v>
      </c>
      <c r="D212" s="79">
        <f t="shared" si="9"/>
        <v>6409.2</v>
      </c>
      <c r="E212" s="13">
        <v>3.6</v>
      </c>
      <c r="F212" s="79">
        <f t="shared" si="10"/>
        <v>384.55200000000002</v>
      </c>
      <c r="G212" s="13">
        <v>2227</v>
      </c>
      <c r="H212" s="13">
        <v>230</v>
      </c>
      <c r="I212" s="41">
        <f t="shared" si="11"/>
        <v>103.27795240233498</v>
      </c>
      <c r="J212" s="13">
        <v>4.8</v>
      </c>
      <c r="K212" s="36">
        <v>33</v>
      </c>
      <c r="L212" s="13">
        <v>0.44</v>
      </c>
      <c r="M212" s="14">
        <v>185</v>
      </c>
      <c r="N212" s="35">
        <v>15.7</v>
      </c>
      <c r="O212" s="14">
        <v>460</v>
      </c>
      <c r="P212" s="48">
        <v>45.9</v>
      </c>
      <c r="Q212" s="14">
        <v>252</v>
      </c>
      <c r="R212" s="8">
        <v>11</v>
      </c>
      <c r="S212" s="13">
        <v>7.91</v>
      </c>
    </row>
    <row r="213" spans="1:19" x14ac:dyDescent="0.25">
      <c r="A213" s="17">
        <v>45869</v>
      </c>
      <c r="B213" s="13">
        <v>10670</v>
      </c>
      <c r="C213" s="13">
        <v>65</v>
      </c>
      <c r="D213" s="79">
        <f t="shared" si="9"/>
        <v>6935.5</v>
      </c>
      <c r="E213" s="13">
        <v>3.4</v>
      </c>
      <c r="F213" s="79">
        <f t="shared" si="10"/>
        <v>362.78</v>
      </c>
      <c r="G213" s="13">
        <v>2252</v>
      </c>
      <c r="H213" s="13">
        <v>235</v>
      </c>
      <c r="I213" s="41">
        <f t="shared" si="11"/>
        <v>104.35168738898757</v>
      </c>
      <c r="J213" s="13">
        <v>4.9400000000000004</v>
      </c>
      <c r="K213" s="36">
        <v>34</v>
      </c>
      <c r="L213" s="13">
        <v>0.76</v>
      </c>
      <c r="M213" s="14">
        <v>183</v>
      </c>
      <c r="N213" s="35">
        <v>16.5</v>
      </c>
      <c r="O213" s="14">
        <v>340</v>
      </c>
      <c r="P213" s="48">
        <v>39.4</v>
      </c>
      <c r="Q213" s="14">
        <v>246</v>
      </c>
      <c r="R213" s="8">
        <v>9</v>
      </c>
      <c r="S213" s="13">
        <v>7.88</v>
      </c>
    </row>
    <row r="214" spans="1:19" x14ac:dyDescent="0.25">
      <c r="A214" s="17">
        <v>45870</v>
      </c>
      <c r="B214" s="13">
        <v>10168</v>
      </c>
      <c r="C214" s="13">
        <v>65</v>
      </c>
      <c r="D214" s="79">
        <f t="shared" si="9"/>
        <v>6609.2</v>
      </c>
      <c r="E214" s="13">
        <v>3.3</v>
      </c>
      <c r="F214" s="79">
        <f t="shared" si="10"/>
        <v>335.54400000000004</v>
      </c>
      <c r="G214" s="13">
        <v>2255</v>
      </c>
      <c r="H214" s="13">
        <v>209</v>
      </c>
      <c r="I214" s="41">
        <f t="shared" si="11"/>
        <v>92.682926829268297</v>
      </c>
      <c r="J214" s="13">
        <v>4.5999999999999996</v>
      </c>
      <c r="K214" s="36">
        <v>32</v>
      </c>
      <c r="L214" s="13">
        <v>0.56000000000000005</v>
      </c>
      <c r="M214" s="14">
        <v>197</v>
      </c>
      <c r="N214" s="35">
        <v>9</v>
      </c>
      <c r="O214" s="14">
        <v>419</v>
      </c>
      <c r="P214" s="47">
        <v>29</v>
      </c>
      <c r="Q214" s="14">
        <v>254</v>
      </c>
      <c r="R214" s="8">
        <v>8</v>
      </c>
      <c r="S214" s="13">
        <v>7.9</v>
      </c>
    </row>
    <row r="215" spans="1:19" x14ac:dyDescent="0.25">
      <c r="A215" s="17">
        <v>45871</v>
      </c>
      <c r="B215" s="13">
        <v>10682</v>
      </c>
      <c r="C215" s="13">
        <v>65</v>
      </c>
      <c r="D215" s="79">
        <f t="shared" si="9"/>
        <v>6943.3</v>
      </c>
      <c r="E215" s="13">
        <v>3.5</v>
      </c>
      <c r="F215" s="79">
        <f t="shared" si="10"/>
        <v>373.87</v>
      </c>
      <c r="G215" s="13">
        <v>2229</v>
      </c>
      <c r="H215" s="13">
        <v>232</v>
      </c>
      <c r="I215" s="41">
        <f t="shared" si="11"/>
        <v>104.08254822790489</v>
      </c>
      <c r="J215" s="13">
        <v>5</v>
      </c>
      <c r="K215" s="36">
        <v>31</v>
      </c>
      <c r="L215" s="13">
        <v>0.54</v>
      </c>
      <c r="M215" s="14">
        <v>180</v>
      </c>
      <c r="N215" s="35">
        <v>14.1</v>
      </c>
      <c r="O215" s="14">
        <v>428</v>
      </c>
      <c r="P215" s="47">
        <v>38</v>
      </c>
      <c r="Q215" s="14">
        <v>250</v>
      </c>
      <c r="R215" s="8">
        <v>9</v>
      </c>
      <c r="S215" s="13">
        <v>7.84</v>
      </c>
    </row>
    <row r="216" spans="1:19" x14ac:dyDescent="0.25">
      <c r="A216" s="17">
        <v>45872</v>
      </c>
      <c r="B216" s="13">
        <v>10670</v>
      </c>
      <c r="C216" s="13">
        <v>65</v>
      </c>
      <c r="D216" s="79">
        <f t="shared" si="9"/>
        <v>6935.5</v>
      </c>
      <c r="E216" s="13">
        <v>3.5</v>
      </c>
      <c r="F216" s="79">
        <f t="shared" si="10"/>
        <v>373.45</v>
      </c>
      <c r="G216" s="13">
        <v>2232</v>
      </c>
      <c r="H216" s="13">
        <v>241</v>
      </c>
      <c r="I216" s="41">
        <f t="shared" si="11"/>
        <v>107.97491039426524</v>
      </c>
      <c r="J216" s="13">
        <v>4.75</v>
      </c>
      <c r="K216" s="36">
        <v>30</v>
      </c>
      <c r="L216" s="13">
        <v>0.87</v>
      </c>
      <c r="M216" s="14">
        <v>192</v>
      </c>
      <c r="N216" s="35">
        <v>14.4</v>
      </c>
      <c r="O216" s="14">
        <v>420</v>
      </c>
      <c r="P216" s="47">
        <v>39</v>
      </c>
      <c r="Q216" s="14">
        <v>247</v>
      </c>
      <c r="R216" s="8">
        <v>8</v>
      </c>
      <c r="S216" s="13">
        <v>7.93</v>
      </c>
    </row>
    <row r="217" spans="1:19" x14ac:dyDescent="0.25">
      <c r="A217" s="17">
        <v>45873</v>
      </c>
      <c r="B217" s="13">
        <v>10682</v>
      </c>
      <c r="C217" s="13">
        <v>65</v>
      </c>
      <c r="D217" s="79">
        <f t="shared" si="9"/>
        <v>6943.3</v>
      </c>
      <c r="E217" s="13">
        <v>3.5</v>
      </c>
      <c r="F217" s="79">
        <f t="shared" si="10"/>
        <v>373.87</v>
      </c>
      <c r="G217" s="13">
        <v>2245</v>
      </c>
      <c r="H217" s="13">
        <v>218</v>
      </c>
      <c r="I217" s="41">
        <f t="shared" si="11"/>
        <v>97.104677060133625</v>
      </c>
      <c r="J217" s="13">
        <v>5.0999999999999996</v>
      </c>
      <c r="K217" s="36">
        <v>33</v>
      </c>
      <c r="L217" s="13">
        <v>0.9</v>
      </c>
      <c r="M217" s="14">
        <v>169</v>
      </c>
      <c r="N217" s="35">
        <v>10</v>
      </c>
      <c r="O217" s="14">
        <v>415</v>
      </c>
      <c r="P217" s="47">
        <v>35</v>
      </c>
      <c r="Q217" s="14">
        <v>253</v>
      </c>
      <c r="R217" s="8">
        <v>7</v>
      </c>
      <c r="S217" s="13">
        <v>7.9</v>
      </c>
    </row>
    <row r="218" spans="1:19" x14ac:dyDescent="0.25">
      <c r="A218" s="17">
        <v>45874</v>
      </c>
      <c r="B218" s="13">
        <v>10707</v>
      </c>
      <c r="C218" s="13">
        <v>65</v>
      </c>
      <c r="D218" s="79">
        <f t="shared" si="9"/>
        <v>6959.55</v>
      </c>
      <c r="E218" s="13">
        <v>3.4</v>
      </c>
      <c r="F218" s="79">
        <f t="shared" si="10"/>
        <v>364.03799999999995</v>
      </c>
      <c r="G218" s="13">
        <v>2249</v>
      </c>
      <c r="H218" s="13">
        <v>223</v>
      </c>
      <c r="I218" s="41">
        <f t="shared" si="11"/>
        <v>99.155180080035578</v>
      </c>
      <c r="J218" s="13">
        <v>4.5999999999999996</v>
      </c>
      <c r="K218" s="36">
        <v>32</v>
      </c>
      <c r="L218" s="13">
        <v>0.62</v>
      </c>
      <c r="M218" s="14">
        <v>165</v>
      </c>
      <c r="N218" s="35">
        <v>14.9</v>
      </c>
      <c r="O218" s="14">
        <v>434</v>
      </c>
      <c r="P218" s="47">
        <v>43</v>
      </c>
      <c r="Q218" s="14">
        <v>251</v>
      </c>
      <c r="R218" s="8">
        <v>10</v>
      </c>
      <c r="S218" s="13">
        <v>7.92</v>
      </c>
    </row>
    <row r="219" spans="1:19" x14ac:dyDescent="0.25">
      <c r="A219" s="17">
        <v>45875</v>
      </c>
      <c r="B219" s="13">
        <v>10682</v>
      </c>
      <c r="C219" s="13">
        <v>65</v>
      </c>
      <c r="D219" s="79">
        <f t="shared" si="9"/>
        <v>6943.3</v>
      </c>
      <c r="E219" s="13">
        <v>3.4</v>
      </c>
      <c r="F219" s="79">
        <f t="shared" si="10"/>
        <v>363.18799999999993</v>
      </c>
      <c r="G219" s="13">
        <v>2236</v>
      </c>
      <c r="H219" s="13">
        <v>224</v>
      </c>
      <c r="I219" s="41">
        <f t="shared" si="11"/>
        <v>100.17889087656529</v>
      </c>
      <c r="J219" s="13">
        <v>5</v>
      </c>
      <c r="K219" s="36">
        <v>30</v>
      </c>
      <c r="L219" s="13">
        <v>0.72</v>
      </c>
      <c r="M219" s="14">
        <v>174</v>
      </c>
      <c r="N219" s="35">
        <v>11.3</v>
      </c>
      <c r="O219" s="14">
        <v>431</v>
      </c>
      <c r="P219" s="48">
        <v>38.6</v>
      </c>
      <c r="Q219" s="14">
        <v>248</v>
      </c>
      <c r="R219" s="8">
        <v>7.6</v>
      </c>
      <c r="S219" s="13">
        <v>7.86</v>
      </c>
    </row>
    <row r="220" spans="1:19" x14ac:dyDescent="0.25">
      <c r="A220" s="17">
        <v>45876</v>
      </c>
      <c r="B220" s="13">
        <v>10668</v>
      </c>
      <c r="C220" s="13">
        <v>65</v>
      </c>
      <c r="D220" s="79">
        <f t="shared" si="9"/>
        <v>6934.2</v>
      </c>
      <c r="E220" s="13">
        <v>3.5</v>
      </c>
      <c r="F220" s="79">
        <f t="shared" si="10"/>
        <v>373.38</v>
      </c>
      <c r="G220" s="13">
        <v>2221</v>
      </c>
      <c r="H220" s="13">
        <v>235</v>
      </c>
      <c r="I220" s="41">
        <f t="shared" si="11"/>
        <v>105.80819450697884</v>
      </c>
      <c r="J220" s="13">
        <v>4.72</v>
      </c>
      <c r="K220" s="36">
        <v>31</v>
      </c>
      <c r="L220" s="13">
        <v>0.37</v>
      </c>
      <c r="M220" s="14">
        <v>174</v>
      </c>
      <c r="N220" s="35">
        <v>13.9</v>
      </c>
      <c r="O220" s="14">
        <v>430</v>
      </c>
      <c r="P220" s="47">
        <v>38</v>
      </c>
      <c r="Q220" s="14">
        <v>252</v>
      </c>
      <c r="R220" s="8">
        <v>10</v>
      </c>
      <c r="S220" s="13">
        <v>7.95</v>
      </c>
    </row>
    <row r="221" spans="1:19" x14ac:dyDescent="0.25">
      <c r="A221" s="17">
        <v>45877</v>
      </c>
      <c r="B221" s="13">
        <v>10168</v>
      </c>
      <c r="C221" s="13">
        <v>65</v>
      </c>
      <c r="D221" s="79">
        <f t="shared" si="9"/>
        <v>6609.2</v>
      </c>
      <c r="E221" s="13">
        <v>3.4</v>
      </c>
      <c r="F221" s="79">
        <f t="shared" si="10"/>
        <v>345.71199999999999</v>
      </c>
      <c r="G221" s="13">
        <v>2222</v>
      </c>
      <c r="H221" s="13">
        <v>215</v>
      </c>
      <c r="I221" s="41">
        <f t="shared" si="11"/>
        <v>96.759675967596763</v>
      </c>
      <c r="J221" s="13">
        <v>4.9000000000000004</v>
      </c>
      <c r="K221" s="36">
        <v>31.7</v>
      </c>
      <c r="L221" s="13">
        <v>0.46</v>
      </c>
      <c r="M221" s="14">
        <v>184</v>
      </c>
      <c r="N221" s="35">
        <v>10</v>
      </c>
      <c r="O221" s="14">
        <v>408</v>
      </c>
      <c r="P221" s="48">
        <v>28.7</v>
      </c>
      <c r="Q221" s="14">
        <v>154</v>
      </c>
      <c r="R221" s="8">
        <v>6</v>
      </c>
      <c r="S221" s="13">
        <v>7.9</v>
      </c>
    </row>
    <row r="222" spans="1:19" x14ac:dyDescent="0.25">
      <c r="A222" s="17">
        <v>45878</v>
      </c>
      <c r="B222" s="13">
        <v>11432</v>
      </c>
      <c r="C222" s="13">
        <v>65</v>
      </c>
      <c r="D222" s="79">
        <f t="shared" si="9"/>
        <v>7430.8</v>
      </c>
      <c r="E222" s="13">
        <v>3.4</v>
      </c>
      <c r="F222" s="79">
        <f t="shared" si="10"/>
        <v>388.68799999999993</v>
      </c>
      <c r="G222" s="13">
        <v>2221</v>
      </c>
      <c r="H222" s="13">
        <v>238</v>
      </c>
      <c r="I222" s="41">
        <f t="shared" si="11"/>
        <v>107.15893741557856</v>
      </c>
      <c r="J222" s="13">
        <v>4.7</v>
      </c>
      <c r="K222" s="36">
        <v>32</v>
      </c>
      <c r="L222" s="13">
        <v>0.88</v>
      </c>
      <c r="M222" s="14">
        <v>187</v>
      </c>
      <c r="N222" s="35">
        <v>14.2</v>
      </c>
      <c r="O222" s="14">
        <v>406</v>
      </c>
      <c r="P222" s="48">
        <v>38.799999999999997</v>
      </c>
      <c r="Q222" s="14">
        <v>250</v>
      </c>
      <c r="R222" s="8">
        <v>10</v>
      </c>
      <c r="S222" s="13">
        <v>7.89</v>
      </c>
    </row>
    <row r="223" spans="1:19" x14ac:dyDescent="0.25">
      <c r="A223" s="17">
        <v>45879</v>
      </c>
      <c r="B223" s="13">
        <v>11545</v>
      </c>
      <c r="C223" s="13">
        <v>65</v>
      </c>
      <c r="D223" s="79">
        <f t="shared" si="9"/>
        <v>7504.25</v>
      </c>
      <c r="E223" s="13">
        <v>3.6</v>
      </c>
      <c r="F223" s="79">
        <f t="shared" si="10"/>
        <v>415.62</v>
      </c>
      <c r="G223" s="13">
        <v>2244</v>
      </c>
      <c r="H223" s="13">
        <v>237</v>
      </c>
      <c r="I223" s="41">
        <f t="shared" si="11"/>
        <v>105.61497326203208</v>
      </c>
      <c r="J223" s="13">
        <v>4.8499999999999996</v>
      </c>
      <c r="K223" s="36">
        <v>34</v>
      </c>
      <c r="L223" s="13">
        <v>0.63</v>
      </c>
      <c r="M223" s="14">
        <v>176</v>
      </c>
      <c r="N223" s="35">
        <v>13</v>
      </c>
      <c r="O223" s="14">
        <v>408</v>
      </c>
      <c r="P223" s="48">
        <v>38.1</v>
      </c>
      <c r="Q223" s="14">
        <v>254</v>
      </c>
      <c r="R223" s="8">
        <v>10</v>
      </c>
      <c r="S223" s="13">
        <v>7.91</v>
      </c>
    </row>
    <row r="224" spans="1:19" x14ac:dyDescent="0.25">
      <c r="A224" s="17">
        <v>45880</v>
      </c>
      <c r="B224" s="13">
        <v>11557</v>
      </c>
      <c r="C224" s="13">
        <v>65</v>
      </c>
      <c r="D224" s="79">
        <f t="shared" si="9"/>
        <v>7512.05</v>
      </c>
      <c r="E224" s="13">
        <v>3.3</v>
      </c>
      <c r="F224" s="79">
        <f t="shared" si="10"/>
        <v>381.38099999999997</v>
      </c>
      <c r="G224" s="13">
        <v>2216</v>
      </c>
      <c r="H224" s="13">
        <v>210</v>
      </c>
      <c r="I224" s="41">
        <f t="shared" si="11"/>
        <v>94.765342960288805</v>
      </c>
      <c r="J224" s="13">
        <v>3.4</v>
      </c>
      <c r="K224" s="36">
        <v>32</v>
      </c>
      <c r="L224" s="13">
        <v>0.61</v>
      </c>
      <c r="M224" s="14">
        <v>176</v>
      </c>
      <c r="N224" s="35">
        <v>10.199999999999999</v>
      </c>
      <c r="O224" s="14">
        <v>432</v>
      </c>
      <c r="P224" s="47">
        <v>32</v>
      </c>
      <c r="Q224" s="14">
        <v>249</v>
      </c>
      <c r="R224" s="8">
        <v>7.8</v>
      </c>
      <c r="S224" s="13">
        <v>7.88</v>
      </c>
    </row>
    <row r="225" spans="1:19" x14ac:dyDescent="0.25">
      <c r="A225" s="17">
        <v>45881</v>
      </c>
      <c r="B225" s="13">
        <v>11670</v>
      </c>
      <c r="C225" s="13">
        <v>65</v>
      </c>
      <c r="D225" s="79">
        <f t="shared" si="9"/>
        <v>7585.5</v>
      </c>
      <c r="E225" s="13">
        <v>3.5</v>
      </c>
      <c r="F225" s="79">
        <f t="shared" si="10"/>
        <v>408.45</v>
      </c>
      <c r="G225" s="13">
        <v>2225</v>
      </c>
      <c r="H225" s="13">
        <v>243</v>
      </c>
      <c r="I225" s="41">
        <f t="shared" si="11"/>
        <v>109.21348314606742</v>
      </c>
      <c r="J225" s="13">
        <v>3</v>
      </c>
      <c r="K225" s="36">
        <v>32</v>
      </c>
      <c r="L225" s="13">
        <v>0.74</v>
      </c>
      <c r="M225" s="14">
        <v>167</v>
      </c>
      <c r="N225" s="35">
        <v>14.4</v>
      </c>
      <c r="O225" s="14">
        <v>428</v>
      </c>
      <c r="P225" s="47">
        <v>36</v>
      </c>
      <c r="Q225" s="14">
        <v>251</v>
      </c>
      <c r="R225" s="8">
        <v>9.8000000000000007</v>
      </c>
      <c r="S225" s="13">
        <v>7.93</v>
      </c>
    </row>
    <row r="226" spans="1:19" x14ac:dyDescent="0.25">
      <c r="A226" s="17">
        <v>45882</v>
      </c>
      <c r="B226" s="13">
        <v>11693</v>
      </c>
      <c r="C226" s="13">
        <v>65</v>
      </c>
      <c r="D226" s="79">
        <f t="shared" si="9"/>
        <v>7600.45</v>
      </c>
      <c r="E226" s="13">
        <v>3.6</v>
      </c>
      <c r="F226" s="79">
        <f t="shared" si="10"/>
        <v>420.94800000000004</v>
      </c>
      <c r="G226" s="13">
        <v>2219</v>
      </c>
      <c r="H226" s="13">
        <v>218</v>
      </c>
      <c r="I226" s="41">
        <f t="shared" si="11"/>
        <v>98.242451554754396</v>
      </c>
      <c r="J226" s="13">
        <v>3.52</v>
      </c>
      <c r="K226" s="36">
        <v>32</v>
      </c>
      <c r="L226" s="13">
        <v>0.31</v>
      </c>
      <c r="M226" s="14">
        <v>188</v>
      </c>
      <c r="N226" s="35">
        <v>15</v>
      </c>
      <c r="O226" s="14">
        <v>407</v>
      </c>
      <c r="P226" s="47">
        <v>42</v>
      </c>
      <c r="Q226" s="14">
        <v>247</v>
      </c>
      <c r="R226" s="8">
        <v>10.4</v>
      </c>
      <c r="S226" s="13">
        <v>7.9</v>
      </c>
    </row>
    <row r="227" spans="1:19" x14ac:dyDescent="0.25">
      <c r="A227" s="17">
        <v>45883</v>
      </c>
      <c r="B227" s="13">
        <v>11391</v>
      </c>
      <c r="C227" s="13">
        <v>65</v>
      </c>
      <c r="D227" s="79">
        <f t="shared" si="9"/>
        <v>7404.15</v>
      </c>
      <c r="E227" s="13">
        <v>3.6</v>
      </c>
      <c r="F227" s="79">
        <f t="shared" si="10"/>
        <v>410.07599999999996</v>
      </c>
      <c r="G227" s="13">
        <v>2249</v>
      </c>
      <c r="H227" s="13">
        <v>220</v>
      </c>
      <c r="I227" s="41">
        <f t="shared" si="11"/>
        <v>97.821253890618053</v>
      </c>
      <c r="J227" s="13">
        <v>3.2</v>
      </c>
      <c r="K227" s="36">
        <v>29.6</v>
      </c>
      <c r="L227" s="13">
        <v>0.64</v>
      </c>
      <c r="M227" s="14">
        <v>186</v>
      </c>
      <c r="N227" s="35">
        <v>13.7</v>
      </c>
      <c r="O227" s="14">
        <v>422</v>
      </c>
      <c r="P227" s="48">
        <v>39.4</v>
      </c>
      <c r="Q227" s="14">
        <v>253</v>
      </c>
      <c r="R227" s="8">
        <v>10</v>
      </c>
      <c r="S227" s="13">
        <v>7.92</v>
      </c>
    </row>
    <row r="228" spans="1:19" x14ac:dyDescent="0.25">
      <c r="A228" s="17">
        <v>45884</v>
      </c>
      <c r="B228" s="13">
        <v>11766</v>
      </c>
      <c r="C228" s="13">
        <v>65</v>
      </c>
      <c r="D228" s="79">
        <f t="shared" si="9"/>
        <v>7647.9</v>
      </c>
      <c r="E228" s="13">
        <v>3.4</v>
      </c>
      <c r="F228" s="79">
        <f t="shared" si="10"/>
        <v>400.04400000000004</v>
      </c>
      <c r="G228" s="13">
        <v>2239</v>
      </c>
      <c r="H228" s="13">
        <v>240</v>
      </c>
      <c r="I228" s="41">
        <f t="shared" si="11"/>
        <v>107.19071013845466</v>
      </c>
      <c r="J228" s="13">
        <v>2.9</v>
      </c>
      <c r="K228" s="36">
        <v>31</v>
      </c>
      <c r="L228" s="13">
        <v>0.59</v>
      </c>
      <c r="M228" s="14">
        <v>164</v>
      </c>
      <c r="N228" s="35">
        <v>14.9</v>
      </c>
      <c r="O228" s="14">
        <v>407</v>
      </c>
      <c r="P228" s="47">
        <v>50</v>
      </c>
      <c r="Q228" s="14">
        <v>248</v>
      </c>
      <c r="R228" s="8">
        <v>11</v>
      </c>
      <c r="S228" s="13">
        <v>7.86</v>
      </c>
    </row>
    <row r="229" spans="1:19" x14ac:dyDescent="0.25">
      <c r="A229" s="17">
        <v>45885</v>
      </c>
      <c r="B229" s="13">
        <v>11932</v>
      </c>
      <c r="C229" s="13">
        <v>65</v>
      </c>
      <c r="D229" s="79">
        <f t="shared" si="9"/>
        <v>7755.8</v>
      </c>
      <c r="E229" s="13">
        <v>3.3</v>
      </c>
      <c r="F229" s="79">
        <f t="shared" si="10"/>
        <v>393.75599999999997</v>
      </c>
      <c r="G229" s="13">
        <v>2239</v>
      </c>
      <c r="H229" s="13">
        <v>239</v>
      </c>
      <c r="I229" s="41">
        <f t="shared" si="11"/>
        <v>106.74408217954444</v>
      </c>
      <c r="J229" s="13">
        <v>3.6</v>
      </c>
      <c r="K229" s="36">
        <v>33</v>
      </c>
      <c r="L229" s="13">
        <v>0.81</v>
      </c>
      <c r="M229" s="14">
        <v>168</v>
      </c>
      <c r="N229" s="35">
        <v>15.2</v>
      </c>
      <c r="O229" s="14">
        <v>420</v>
      </c>
      <c r="P229" s="47">
        <v>48</v>
      </c>
      <c r="Q229" s="14">
        <v>252</v>
      </c>
      <c r="R229" s="8">
        <v>9</v>
      </c>
      <c r="S229" s="13">
        <v>7.94</v>
      </c>
    </row>
    <row r="230" spans="1:19" x14ac:dyDescent="0.25">
      <c r="A230" s="17">
        <v>45886</v>
      </c>
      <c r="B230" s="13">
        <v>11920</v>
      </c>
      <c r="C230" s="13">
        <v>65</v>
      </c>
      <c r="D230" s="79">
        <f t="shared" si="9"/>
        <v>7748</v>
      </c>
      <c r="E230" s="13">
        <v>3.5</v>
      </c>
      <c r="F230" s="79">
        <f t="shared" si="10"/>
        <v>417.2</v>
      </c>
      <c r="G230" s="13">
        <v>2248</v>
      </c>
      <c r="H230" s="13">
        <v>245</v>
      </c>
      <c r="I230" s="41">
        <f t="shared" si="11"/>
        <v>108.98576512455516</v>
      </c>
      <c r="J230" s="13">
        <v>3.1</v>
      </c>
      <c r="K230" s="36">
        <v>30</v>
      </c>
      <c r="L230" s="13">
        <v>0.37</v>
      </c>
      <c r="M230" s="14">
        <v>170</v>
      </c>
      <c r="N230" s="35">
        <v>13.5</v>
      </c>
      <c r="O230" s="14">
        <v>428</v>
      </c>
      <c r="P230" s="47">
        <v>35</v>
      </c>
      <c r="Q230" s="14">
        <v>246</v>
      </c>
      <c r="R230" s="8">
        <v>10</v>
      </c>
      <c r="S230" s="13">
        <v>7.9</v>
      </c>
    </row>
    <row r="231" spans="1:19" x14ac:dyDescent="0.25">
      <c r="A231" s="17">
        <v>45887</v>
      </c>
      <c r="B231" s="13">
        <v>11932</v>
      </c>
      <c r="C231" s="13">
        <v>65</v>
      </c>
      <c r="D231" s="79">
        <f t="shared" si="9"/>
        <v>7755.8</v>
      </c>
      <c r="E231" s="13">
        <v>3.5</v>
      </c>
      <c r="F231" s="79">
        <f t="shared" si="10"/>
        <v>417.62</v>
      </c>
      <c r="G231" s="13">
        <v>2238</v>
      </c>
      <c r="H231" s="13">
        <v>206</v>
      </c>
      <c r="I231" s="41">
        <f t="shared" si="11"/>
        <v>92.046470062555855</v>
      </c>
      <c r="J231" s="13">
        <v>3.4</v>
      </c>
      <c r="K231" s="36">
        <v>32</v>
      </c>
      <c r="L231" s="13">
        <v>0.88</v>
      </c>
      <c r="M231" s="14">
        <v>163</v>
      </c>
      <c r="N231" s="35">
        <v>13</v>
      </c>
      <c r="O231" s="14">
        <v>300</v>
      </c>
      <c r="P231" s="47">
        <v>24</v>
      </c>
      <c r="Q231" s="14">
        <v>251</v>
      </c>
      <c r="R231" s="8">
        <v>11</v>
      </c>
      <c r="S231" s="13">
        <v>7.91</v>
      </c>
    </row>
    <row r="232" spans="1:19" x14ac:dyDescent="0.25">
      <c r="A232" s="17">
        <v>45888</v>
      </c>
      <c r="B232" s="13">
        <v>12945</v>
      </c>
      <c r="C232" s="13">
        <v>65</v>
      </c>
      <c r="D232" s="79">
        <f t="shared" si="9"/>
        <v>8414.25</v>
      </c>
      <c r="E232" s="13">
        <v>3.5</v>
      </c>
      <c r="F232" s="79">
        <f t="shared" si="10"/>
        <v>453.07499999999999</v>
      </c>
      <c r="G232" s="13">
        <v>2247</v>
      </c>
      <c r="H232" s="13">
        <v>211</v>
      </c>
      <c r="I232" s="41">
        <f t="shared" si="11"/>
        <v>93.902981753449041</v>
      </c>
      <c r="J232" s="13">
        <v>3.2</v>
      </c>
      <c r="K232" s="36">
        <v>30</v>
      </c>
      <c r="L232" s="13">
        <v>0.32</v>
      </c>
      <c r="M232" s="14">
        <v>185</v>
      </c>
      <c r="N232" s="35">
        <v>14.4</v>
      </c>
      <c r="O232" s="14">
        <v>300</v>
      </c>
      <c r="P232" s="47">
        <v>35</v>
      </c>
      <c r="Q232" s="14">
        <v>249</v>
      </c>
      <c r="R232" s="8">
        <v>9</v>
      </c>
      <c r="S232" s="13">
        <v>7.87</v>
      </c>
    </row>
    <row r="233" spans="1:19" x14ac:dyDescent="0.25">
      <c r="A233" s="17">
        <v>45889</v>
      </c>
      <c r="B233" s="13">
        <v>12668</v>
      </c>
      <c r="C233" s="13">
        <v>65</v>
      </c>
      <c r="D233" s="79">
        <f t="shared" si="9"/>
        <v>8234.2000000000007</v>
      </c>
      <c r="E233" s="13">
        <v>3.4</v>
      </c>
      <c r="F233" s="79">
        <f t="shared" si="10"/>
        <v>430.71199999999999</v>
      </c>
      <c r="G233" s="13">
        <v>2231</v>
      </c>
      <c r="H233" s="13">
        <v>210</v>
      </c>
      <c r="I233" s="41">
        <f t="shared" si="11"/>
        <v>94.128193635141187</v>
      </c>
      <c r="J233" s="13">
        <v>3.54</v>
      </c>
      <c r="K233" s="36">
        <v>29</v>
      </c>
      <c r="L233" s="13">
        <v>0.39</v>
      </c>
      <c r="M233" s="14">
        <v>194</v>
      </c>
      <c r="N233" s="35">
        <v>13.4</v>
      </c>
      <c r="O233" s="14">
        <v>400</v>
      </c>
      <c r="P233" s="47">
        <v>36</v>
      </c>
      <c r="Q233" s="14">
        <v>254</v>
      </c>
      <c r="R233" s="8">
        <v>8.5</v>
      </c>
      <c r="S233" s="13">
        <v>7.8</v>
      </c>
    </row>
    <row r="234" spans="1:19" x14ac:dyDescent="0.25">
      <c r="A234" s="17">
        <v>45890</v>
      </c>
      <c r="B234" s="13">
        <v>12732</v>
      </c>
      <c r="C234" s="13">
        <v>65</v>
      </c>
      <c r="D234" s="79">
        <f t="shared" si="9"/>
        <v>8275.7999999999993</v>
      </c>
      <c r="E234" s="13">
        <v>3.4</v>
      </c>
      <c r="F234" s="79">
        <f t="shared" si="10"/>
        <v>432.88799999999998</v>
      </c>
      <c r="G234" s="13">
        <v>2224</v>
      </c>
      <c r="H234" s="13">
        <v>217</v>
      </c>
      <c r="I234" s="41">
        <f t="shared" si="11"/>
        <v>97.571942446043167</v>
      </c>
      <c r="J234" s="13">
        <v>2.9</v>
      </c>
      <c r="K234" s="36">
        <v>30</v>
      </c>
      <c r="L234" s="13">
        <v>0.64</v>
      </c>
      <c r="M234" s="14">
        <v>169</v>
      </c>
      <c r="N234" s="35">
        <v>14.5</v>
      </c>
      <c r="O234" s="14">
        <v>340</v>
      </c>
      <c r="P234" s="47">
        <v>41</v>
      </c>
      <c r="Q234" s="14">
        <v>247</v>
      </c>
      <c r="R234" s="8">
        <v>8.9</v>
      </c>
      <c r="S234" s="13">
        <v>7.75</v>
      </c>
    </row>
    <row r="235" spans="1:19" x14ac:dyDescent="0.25">
      <c r="A235" s="17">
        <v>45891</v>
      </c>
      <c r="B235" s="13">
        <v>12936</v>
      </c>
      <c r="C235" s="13">
        <v>65</v>
      </c>
      <c r="D235" s="79">
        <f t="shared" si="9"/>
        <v>8408.4</v>
      </c>
      <c r="E235" s="13">
        <v>3.6</v>
      </c>
      <c r="F235" s="79">
        <f t="shared" si="10"/>
        <v>465.69599999999997</v>
      </c>
      <c r="G235" s="13">
        <v>2238</v>
      </c>
      <c r="H235" s="13">
        <v>225</v>
      </c>
      <c r="I235" s="41">
        <f t="shared" si="11"/>
        <v>100.53619302949062</v>
      </c>
      <c r="J235" s="13">
        <v>3.4</v>
      </c>
      <c r="K235" s="36">
        <v>33</v>
      </c>
      <c r="L235" s="13">
        <v>0.7</v>
      </c>
      <c r="M235" s="14">
        <v>173</v>
      </c>
      <c r="N235" s="35">
        <v>14</v>
      </c>
      <c r="O235" s="14">
        <v>455</v>
      </c>
      <c r="P235" s="48">
        <v>40</v>
      </c>
      <c r="Q235" s="14">
        <v>250</v>
      </c>
      <c r="R235" s="8">
        <v>13</v>
      </c>
      <c r="S235" s="13">
        <v>7.84</v>
      </c>
    </row>
    <row r="236" spans="1:19" x14ac:dyDescent="0.25">
      <c r="A236" s="17">
        <v>45892</v>
      </c>
      <c r="B236" s="13">
        <v>12957</v>
      </c>
      <c r="C236" s="13">
        <v>65</v>
      </c>
      <c r="D236" s="79">
        <f t="shared" si="9"/>
        <v>8422.0499999999993</v>
      </c>
      <c r="E236" s="13">
        <v>3.6</v>
      </c>
      <c r="F236" s="79">
        <f t="shared" si="10"/>
        <v>466.45200000000006</v>
      </c>
      <c r="G236" s="13">
        <v>2215</v>
      </c>
      <c r="H236" s="13">
        <v>222</v>
      </c>
      <c r="I236" s="41">
        <f t="shared" si="11"/>
        <v>100.22573363431151</v>
      </c>
      <c r="J236" s="13">
        <v>3.15</v>
      </c>
      <c r="K236" s="36">
        <v>30</v>
      </c>
      <c r="L236" s="13">
        <v>0.42</v>
      </c>
      <c r="M236" s="14">
        <v>196</v>
      </c>
      <c r="N236" s="35">
        <v>13.2</v>
      </c>
      <c r="O236" s="14">
        <v>370</v>
      </c>
      <c r="P236" s="47">
        <v>35</v>
      </c>
      <c r="Q236" s="14">
        <v>253</v>
      </c>
      <c r="R236" s="8">
        <v>9</v>
      </c>
      <c r="S236" s="13">
        <v>7.8</v>
      </c>
    </row>
    <row r="237" spans="1:19" x14ac:dyDescent="0.25">
      <c r="A237" s="17">
        <v>45893</v>
      </c>
      <c r="B237" s="13">
        <v>13045</v>
      </c>
      <c r="C237" s="13">
        <v>65</v>
      </c>
      <c r="D237" s="79">
        <f t="shared" si="9"/>
        <v>8479.25</v>
      </c>
      <c r="E237" s="13">
        <v>3.4</v>
      </c>
      <c r="F237" s="79">
        <f t="shared" si="10"/>
        <v>443.53</v>
      </c>
      <c r="G237" s="13">
        <v>2238</v>
      </c>
      <c r="H237" s="13">
        <v>236</v>
      </c>
      <c r="I237" s="41">
        <f t="shared" si="11"/>
        <v>105.45129579982127</v>
      </c>
      <c r="J237" s="13">
        <v>3.6</v>
      </c>
      <c r="K237" s="36">
        <v>29.8</v>
      </c>
      <c r="L237" s="13">
        <v>0.35</v>
      </c>
      <c r="M237" s="14">
        <v>191.4</v>
      </c>
      <c r="N237" s="35">
        <v>13.7</v>
      </c>
      <c r="O237" s="14">
        <v>370</v>
      </c>
      <c r="P237" s="48">
        <v>36.200000000000003</v>
      </c>
      <c r="Q237" s="14">
        <v>245</v>
      </c>
      <c r="R237" s="8">
        <v>9</v>
      </c>
      <c r="S237" s="13">
        <v>7.82</v>
      </c>
    </row>
    <row r="238" spans="1:19" x14ac:dyDescent="0.25">
      <c r="A238" s="17">
        <v>45894</v>
      </c>
      <c r="B238" s="13">
        <v>12957</v>
      </c>
      <c r="C238" s="13">
        <v>65</v>
      </c>
      <c r="D238" s="79">
        <f t="shared" si="9"/>
        <v>8422.0499999999993</v>
      </c>
      <c r="E238" s="13">
        <v>3.3</v>
      </c>
      <c r="F238" s="79">
        <f t="shared" si="10"/>
        <v>427.58099999999996</v>
      </c>
      <c r="G238" s="13">
        <v>2223</v>
      </c>
      <c r="H238" s="13">
        <v>244</v>
      </c>
      <c r="I238" s="41">
        <f t="shared" si="11"/>
        <v>109.76158344579397</v>
      </c>
      <c r="J238" s="13">
        <v>2.9</v>
      </c>
      <c r="K238" s="36">
        <v>31</v>
      </c>
      <c r="L238" s="13">
        <v>0.83</v>
      </c>
      <c r="M238" s="14">
        <v>187</v>
      </c>
      <c r="N238" s="35">
        <v>13.7</v>
      </c>
      <c r="O238" s="14">
        <v>300</v>
      </c>
      <c r="P238" s="47">
        <v>31</v>
      </c>
      <c r="Q238" s="14">
        <v>251</v>
      </c>
      <c r="R238" s="8">
        <v>10.7</v>
      </c>
      <c r="S238" s="13">
        <v>7.77</v>
      </c>
    </row>
    <row r="239" spans="1:19" x14ac:dyDescent="0.25">
      <c r="A239" s="17">
        <v>45895</v>
      </c>
      <c r="B239" s="13">
        <v>12945</v>
      </c>
      <c r="C239" s="13">
        <v>60</v>
      </c>
      <c r="D239" s="79">
        <f t="shared" si="9"/>
        <v>7767</v>
      </c>
      <c r="E239" s="13">
        <v>3.5</v>
      </c>
      <c r="F239" s="79">
        <f t="shared" si="10"/>
        <v>453.07499999999999</v>
      </c>
      <c r="G239" s="13">
        <v>2245</v>
      </c>
      <c r="H239" s="13">
        <v>207</v>
      </c>
      <c r="I239" s="41">
        <f t="shared" si="11"/>
        <v>92.204899777282847</v>
      </c>
      <c r="J239" s="13">
        <v>3.4</v>
      </c>
      <c r="K239" s="36">
        <v>30.6</v>
      </c>
      <c r="L239" s="13">
        <v>0.43</v>
      </c>
      <c r="M239" s="14">
        <v>162</v>
      </c>
      <c r="N239" s="35">
        <v>8.6999999999999993</v>
      </c>
      <c r="O239" s="14">
        <v>380</v>
      </c>
      <c r="P239" s="47">
        <v>28</v>
      </c>
      <c r="Q239" s="14">
        <v>248</v>
      </c>
      <c r="R239" s="8">
        <v>6</v>
      </c>
      <c r="S239" s="13">
        <v>7.85</v>
      </c>
    </row>
    <row r="240" spans="1:19" x14ac:dyDescent="0.25">
      <c r="A240" s="17">
        <v>45896</v>
      </c>
      <c r="B240" s="13">
        <v>12807</v>
      </c>
      <c r="C240" s="13">
        <v>60</v>
      </c>
      <c r="D240" s="79">
        <f t="shared" si="9"/>
        <v>7684.2</v>
      </c>
      <c r="E240" s="13">
        <v>3.5</v>
      </c>
      <c r="F240" s="79">
        <f t="shared" si="10"/>
        <v>448.245</v>
      </c>
      <c r="G240" s="13">
        <v>2231</v>
      </c>
      <c r="H240" s="13">
        <v>223</v>
      </c>
      <c r="I240" s="41">
        <f t="shared" si="11"/>
        <v>99.955177050649937</v>
      </c>
      <c r="J240" s="13">
        <v>3.12</v>
      </c>
      <c r="K240" s="36">
        <v>32</v>
      </c>
      <c r="L240" s="13">
        <v>0.64</v>
      </c>
      <c r="M240" s="14">
        <v>200</v>
      </c>
      <c r="N240" s="35">
        <v>9.6</v>
      </c>
      <c r="O240" s="14">
        <v>530</v>
      </c>
      <c r="P240" s="48">
        <v>26.6</v>
      </c>
      <c r="Q240" s="14">
        <v>252</v>
      </c>
      <c r="R240" s="8">
        <v>8</v>
      </c>
      <c r="S240" s="13">
        <v>7.8</v>
      </c>
    </row>
    <row r="241" spans="1:19" x14ac:dyDescent="0.25">
      <c r="A241" s="17">
        <v>45897</v>
      </c>
      <c r="B241" s="13">
        <v>12907</v>
      </c>
      <c r="C241" s="13">
        <v>60</v>
      </c>
      <c r="D241" s="79">
        <f t="shared" si="9"/>
        <v>7744.2</v>
      </c>
      <c r="E241" s="13">
        <v>3.5</v>
      </c>
      <c r="F241" s="79">
        <f t="shared" si="10"/>
        <v>451.745</v>
      </c>
      <c r="G241" s="13">
        <v>2219</v>
      </c>
      <c r="H241" s="13">
        <v>231</v>
      </c>
      <c r="I241" s="41">
        <f t="shared" si="11"/>
        <v>104.10094637223975</v>
      </c>
      <c r="J241" s="13">
        <v>3.3</v>
      </c>
      <c r="K241" s="36">
        <v>31</v>
      </c>
      <c r="L241" s="13">
        <v>0.66</v>
      </c>
      <c r="M241" s="14">
        <v>166</v>
      </c>
      <c r="N241" s="35">
        <v>14.9</v>
      </c>
      <c r="O241" s="14">
        <v>440</v>
      </c>
      <c r="P241" s="48">
        <v>40</v>
      </c>
      <c r="Q241" s="14">
        <v>246</v>
      </c>
      <c r="R241" s="8">
        <v>13</v>
      </c>
      <c r="S241" s="13">
        <v>7.81</v>
      </c>
    </row>
    <row r="242" spans="1:19" x14ac:dyDescent="0.25">
      <c r="A242" s="17">
        <v>45898</v>
      </c>
      <c r="B242" s="13">
        <v>12907</v>
      </c>
      <c r="C242" s="13">
        <v>60</v>
      </c>
      <c r="D242" s="79">
        <f t="shared" si="9"/>
        <v>7744.2</v>
      </c>
      <c r="E242" s="13">
        <v>3.4</v>
      </c>
      <c r="F242" s="79">
        <f t="shared" si="10"/>
        <v>438.83799999999997</v>
      </c>
      <c r="G242" s="13">
        <v>2300</v>
      </c>
      <c r="H242" s="13">
        <v>237</v>
      </c>
      <c r="I242" s="41">
        <f t="shared" si="11"/>
        <v>103.04347826086956</v>
      </c>
      <c r="J242" s="13">
        <v>3.1</v>
      </c>
      <c r="K242" s="36">
        <v>30</v>
      </c>
      <c r="L242" s="13">
        <v>0.53</v>
      </c>
      <c r="M242" s="14">
        <v>171</v>
      </c>
      <c r="N242" s="35">
        <v>14.2</v>
      </c>
      <c r="O242" s="14">
        <v>326</v>
      </c>
      <c r="P242" s="48">
        <v>36.5</v>
      </c>
      <c r="Q242" s="14">
        <v>254</v>
      </c>
      <c r="R242" s="8">
        <v>9</v>
      </c>
      <c r="S242" s="13">
        <v>7.76</v>
      </c>
    </row>
    <row r="243" spans="1:19" x14ac:dyDescent="0.25">
      <c r="A243" s="17">
        <v>45899</v>
      </c>
      <c r="B243" s="13">
        <v>12682</v>
      </c>
      <c r="C243" s="13">
        <v>60</v>
      </c>
      <c r="D243" s="79">
        <f t="shared" si="9"/>
        <v>7609.2</v>
      </c>
      <c r="E243" s="13">
        <v>3.4</v>
      </c>
      <c r="F243" s="79">
        <f t="shared" si="10"/>
        <v>431.18799999999993</v>
      </c>
      <c r="G243" s="13">
        <v>2284</v>
      </c>
      <c r="H243" s="13">
        <v>243</v>
      </c>
      <c r="I243" s="41">
        <f t="shared" si="11"/>
        <v>106.39229422066551</v>
      </c>
      <c r="J243" s="13">
        <v>3.25</v>
      </c>
      <c r="K243" s="36">
        <v>30</v>
      </c>
      <c r="L243" s="13">
        <v>0.64</v>
      </c>
      <c r="M243" s="14">
        <v>192</v>
      </c>
      <c r="N243" s="35">
        <v>15.6</v>
      </c>
      <c r="O243" s="14">
        <v>430</v>
      </c>
      <c r="P243" s="48">
        <v>42.1</v>
      </c>
      <c r="Q243" s="14">
        <v>250</v>
      </c>
      <c r="R243" s="8">
        <v>10</v>
      </c>
      <c r="S243" s="13">
        <v>7.83</v>
      </c>
    </row>
    <row r="244" spans="1:19" x14ac:dyDescent="0.25">
      <c r="A244" s="17">
        <v>45900</v>
      </c>
      <c r="B244" s="13">
        <v>13041</v>
      </c>
      <c r="C244" s="13">
        <v>60</v>
      </c>
      <c r="D244" s="79">
        <f t="shared" si="9"/>
        <v>7824.6</v>
      </c>
      <c r="E244" s="13">
        <v>3.6</v>
      </c>
      <c r="F244" s="79">
        <f t="shared" si="10"/>
        <v>469.476</v>
      </c>
      <c r="G244" s="13">
        <v>2308</v>
      </c>
      <c r="H244" s="13">
        <v>248</v>
      </c>
      <c r="I244" s="41">
        <f t="shared" si="11"/>
        <v>107.45233968804159</v>
      </c>
      <c r="J244" s="13">
        <v>3.1</v>
      </c>
      <c r="K244" s="36">
        <v>29</v>
      </c>
      <c r="L244" s="13">
        <v>0.6</v>
      </c>
      <c r="M244" s="14">
        <v>189</v>
      </c>
      <c r="N244" s="35">
        <v>14</v>
      </c>
      <c r="O244" s="14">
        <v>266</v>
      </c>
      <c r="P244" s="47">
        <v>33</v>
      </c>
      <c r="Q244" s="14">
        <v>247</v>
      </c>
      <c r="R244" s="8">
        <v>10.199999999999999</v>
      </c>
      <c r="S244" s="13">
        <v>7.8</v>
      </c>
    </row>
    <row r="245" spans="1:19" x14ac:dyDescent="0.25">
      <c r="A245" s="17">
        <v>45901</v>
      </c>
      <c r="B245" s="13">
        <v>12693</v>
      </c>
      <c r="C245" s="13">
        <v>60</v>
      </c>
      <c r="D245" s="79">
        <f t="shared" si="9"/>
        <v>7615.8</v>
      </c>
      <c r="E245" s="13">
        <v>3.3</v>
      </c>
      <c r="F245" s="79">
        <f t="shared" si="10"/>
        <v>418.86899999999991</v>
      </c>
      <c r="G245" s="13">
        <v>2294</v>
      </c>
      <c r="H245" s="13">
        <v>219</v>
      </c>
      <c r="I245" s="41">
        <f t="shared" si="11"/>
        <v>95.466434176111591</v>
      </c>
      <c r="J245" s="13">
        <v>2.8</v>
      </c>
      <c r="K245" s="36">
        <v>29</v>
      </c>
      <c r="L245" s="13">
        <v>0.86</v>
      </c>
      <c r="M245" s="14">
        <v>158</v>
      </c>
      <c r="N245" s="35">
        <v>12</v>
      </c>
      <c r="O245" s="14">
        <v>320</v>
      </c>
      <c r="P245" s="48">
        <v>29.9</v>
      </c>
      <c r="Q245" s="14">
        <v>253</v>
      </c>
      <c r="R245" s="8">
        <v>9</v>
      </c>
      <c r="S245" s="13">
        <v>7.82</v>
      </c>
    </row>
    <row r="246" spans="1:19" x14ac:dyDescent="0.25">
      <c r="A246" s="17">
        <v>45902</v>
      </c>
      <c r="B246" s="13">
        <v>12682</v>
      </c>
      <c r="C246" s="13">
        <v>60</v>
      </c>
      <c r="D246" s="79">
        <f t="shared" si="9"/>
        <v>7609.2</v>
      </c>
      <c r="E246" s="13">
        <v>3.5</v>
      </c>
      <c r="F246" s="79">
        <f t="shared" si="10"/>
        <v>443.87</v>
      </c>
      <c r="G246" s="13">
        <v>2301</v>
      </c>
      <c r="H246" s="13">
        <v>220</v>
      </c>
      <c r="I246" s="41">
        <f t="shared" si="11"/>
        <v>95.610604085180356</v>
      </c>
      <c r="J246" s="13">
        <v>3.32</v>
      </c>
      <c r="K246" s="36">
        <v>30</v>
      </c>
      <c r="L246" s="13">
        <v>0.63</v>
      </c>
      <c r="M246" s="14">
        <v>183</v>
      </c>
      <c r="N246" s="35">
        <v>12</v>
      </c>
      <c r="O246" s="14">
        <v>300</v>
      </c>
      <c r="P246" s="48">
        <v>42.8</v>
      </c>
      <c r="Q246" s="14">
        <v>251</v>
      </c>
      <c r="R246" s="8">
        <v>9.5</v>
      </c>
      <c r="S246" s="13">
        <v>7.76</v>
      </c>
    </row>
    <row r="247" spans="1:19" x14ac:dyDescent="0.25">
      <c r="A247" s="17">
        <v>45903</v>
      </c>
      <c r="B247" s="13">
        <v>12957</v>
      </c>
      <c r="C247" s="13">
        <v>60</v>
      </c>
      <c r="D247" s="79">
        <f t="shared" si="9"/>
        <v>7774.2</v>
      </c>
      <c r="E247" s="13">
        <v>3.6</v>
      </c>
      <c r="F247" s="79">
        <f t="shared" si="10"/>
        <v>466.45200000000006</v>
      </c>
      <c r="G247" s="13">
        <v>2295</v>
      </c>
      <c r="H247" s="13">
        <v>236</v>
      </c>
      <c r="I247" s="41">
        <f t="shared" si="11"/>
        <v>102.8322440087146</v>
      </c>
      <c r="J247" s="13">
        <v>3</v>
      </c>
      <c r="K247" s="36">
        <v>28.5</v>
      </c>
      <c r="L247" s="13">
        <v>0.72</v>
      </c>
      <c r="M247" s="14">
        <v>157</v>
      </c>
      <c r="N247" s="35">
        <v>12.7</v>
      </c>
      <c r="O247" s="14">
        <v>470</v>
      </c>
      <c r="P247" s="47">
        <v>32</v>
      </c>
      <c r="Q247" s="14">
        <v>248</v>
      </c>
      <c r="R247" s="8">
        <v>9.3000000000000007</v>
      </c>
      <c r="S247" s="13">
        <v>7.84</v>
      </c>
    </row>
    <row r="248" spans="1:19" x14ac:dyDescent="0.25">
      <c r="A248" s="17">
        <v>45904</v>
      </c>
      <c r="B248" s="13">
        <v>13045</v>
      </c>
      <c r="C248" s="13">
        <v>60</v>
      </c>
      <c r="D248" s="79">
        <f t="shared" si="9"/>
        <v>7827</v>
      </c>
      <c r="E248" s="13">
        <v>3.6</v>
      </c>
      <c r="F248" s="79">
        <f t="shared" si="10"/>
        <v>469.62</v>
      </c>
      <c r="G248" s="13">
        <v>2308</v>
      </c>
      <c r="H248" s="13">
        <v>218</v>
      </c>
      <c r="I248" s="41">
        <f t="shared" si="11"/>
        <v>94.454072790294632</v>
      </c>
      <c r="J248" s="13">
        <v>2.7</v>
      </c>
      <c r="K248" s="36">
        <v>30</v>
      </c>
      <c r="L248" s="13">
        <v>0.42</v>
      </c>
      <c r="M248" s="14">
        <v>160</v>
      </c>
      <c r="N248" s="35">
        <v>10</v>
      </c>
      <c r="O248" s="14">
        <v>440</v>
      </c>
      <c r="P248" s="47">
        <v>27</v>
      </c>
      <c r="Q248" s="14">
        <v>252</v>
      </c>
      <c r="R248" s="8">
        <v>8.6999999999999993</v>
      </c>
      <c r="S248" s="13">
        <v>7.8</v>
      </c>
    </row>
    <row r="249" spans="1:19" x14ac:dyDescent="0.25">
      <c r="A249" s="17">
        <v>45905</v>
      </c>
      <c r="B249" s="13">
        <v>12957</v>
      </c>
      <c r="C249" s="13">
        <v>60</v>
      </c>
      <c r="D249" s="79">
        <f t="shared" si="9"/>
        <v>7774.2</v>
      </c>
      <c r="E249" s="13">
        <v>3.4</v>
      </c>
      <c r="F249" s="79">
        <f t="shared" si="10"/>
        <v>440.53799999999995</v>
      </c>
      <c r="G249" s="13">
        <v>2274</v>
      </c>
      <c r="H249" s="13">
        <v>242</v>
      </c>
      <c r="I249" s="41">
        <f t="shared" si="11"/>
        <v>106.42040457343887</v>
      </c>
      <c r="J249" s="13">
        <v>3.4</v>
      </c>
      <c r="K249" s="36">
        <v>28</v>
      </c>
      <c r="L249" s="13">
        <v>0.52</v>
      </c>
      <c r="M249" s="14">
        <v>168</v>
      </c>
      <c r="N249" s="35">
        <v>12.2</v>
      </c>
      <c r="O249" s="14">
        <v>400</v>
      </c>
      <c r="P249" s="48">
        <v>40</v>
      </c>
      <c r="Q249" s="14">
        <v>246</v>
      </c>
      <c r="R249" s="8">
        <v>9</v>
      </c>
      <c r="S249" s="13">
        <v>7.81</v>
      </c>
    </row>
    <row r="250" spans="1:19" x14ac:dyDescent="0.25">
      <c r="A250" s="17">
        <v>45906</v>
      </c>
      <c r="B250" s="13">
        <v>12907</v>
      </c>
      <c r="C250" s="13">
        <v>60</v>
      </c>
      <c r="D250" s="79">
        <f t="shared" si="9"/>
        <v>7744.2</v>
      </c>
      <c r="E250" s="13">
        <v>3.3</v>
      </c>
      <c r="F250" s="79">
        <f t="shared" si="10"/>
        <v>425.93099999999998</v>
      </c>
      <c r="G250" s="13">
        <v>2285</v>
      </c>
      <c r="H250" s="13">
        <v>226</v>
      </c>
      <c r="I250" s="41">
        <f t="shared" si="11"/>
        <v>98.905908096280086</v>
      </c>
      <c r="J250" s="13">
        <v>2.9</v>
      </c>
      <c r="K250" s="36">
        <v>30</v>
      </c>
      <c r="L250" s="13">
        <v>0.69</v>
      </c>
      <c r="M250" s="14">
        <v>163</v>
      </c>
      <c r="N250" s="35">
        <v>13.1</v>
      </c>
      <c r="O250" s="14">
        <v>430</v>
      </c>
      <c r="P250" s="47">
        <v>25</v>
      </c>
      <c r="Q250" s="14">
        <v>250</v>
      </c>
      <c r="R250" s="8">
        <v>8.9</v>
      </c>
      <c r="S250" s="13">
        <v>8</v>
      </c>
    </row>
    <row r="251" spans="1:19" x14ac:dyDescent="0.25">
      <c r="A251" s="17">
        <v>45907</v>
      </c>
      <c r="B251" s="13">
        <v>12932</v>
      </c>
      <c r="C251" s="13">
        <v>60</v>
      </c>
      <c r="D251" s="79">
        <f t="shared" si="9"/>
        <v>7759.2</v>
      </c>
      <c r="E251" s="13">
        <v>3.5</v>
      </c>
      <c r="F251" s="79">
        <f t="shared" si="10"/>
        <v>452.62</v>
      </c>
      <c r="G251" s="13">
        <v>2300</v>
      </c>
      <c r="H251" s="13">
        <v>234</v>
      </c>
      <c r="I251" s="41">
        <f t="shared" si="11"/>
        <v>101.73913043478261</v>
      </c>
      <c r="J251" s="13">
        <v>3.2</v>
      </c>
      <c r="K251" s="36">
        <v>26</v>
      </c>
      <c r="L251" s="13">
        <v>0.46</v>
      </c>
      <c r="M251" s="14">
        <v>181</v>
      </c>
      <c r="N251" s="35">
        <v>11.2</v>
      </c>
      <c r="O251" s="14">
        <v>330</v>
      </c>
      <c r="P251" s="48">
        <v>29.4</v>
      </c>
      <c r="Q251" s="14">
        <v>254</v>
      </c>
      <c r="R251" s="8">
        <v>9.5</v>
      </c>
      <c r="S251" s="13">
        <v>7.6</v>
      </c>
    </row>
    <row r="252" spans="1:19" x14ac:dyDescent="0.25">
      <c r="A252" s="17">
        <v>45908</v>
      </c>
      <c r="B252" s="13">
        <v>12945</v>
      </c>
      <c r="C252" s="13">
        <v>60</v>
      </c>
      <c r="D252" s="79">
        <f t="shared" si="9"/>
        <v>7767</v>
      </c>
      <c r="E252" s="13">
        <v>3.5</v>
      </c>
      <c r="F252" s="79">
        <f t="shared" si="10"/>
        <v>453.07499999999999</v>
      </c>
      <c r="G252" s="13">
        <v>2291</v>
      </c>
      <c r="H252" s="13">
        <v>221</v>
      </c>
      <c r="I252" s="41">
        <f t="shared" si="11"/>
        <v>96.464426014840683</v>
      </c>
      <c r="J252" s="13">
        <v>3</v>
      </c>
      <c r="K252" s="36">
        <v>30</v>
      </c>
      <c r="L252" s="13">
        <v>0.47</v>
      </c>
      <c r="M252" s="14">
        <v>154</v>
      </c>
      <c r="N252" s="35">
        <v>14.4</v>
      </c>
      <c r="O252" s="14">
        <v>330</v>
      </c>
      <c r="P252" s="47">
        <v>39</v>
      </c>
      <c r="Q252" s="14">
        <v>249</v>
      </c>
      <c r="R252" s="8">
        <v>10.6</v>
      </c>
      <c r="S252" s="13">
        <v>7.54</v>
      </c>
    </row>
    <row r="253" spans="1:19" x14ac:dyDescent="0.25">
      <c r="A253" s="17">
        <v>45909</v>
      </c>
      <c r="B253" s="13">
        <v>12807</v>
      </c>
      <c r="C253" s="13">
        <v>60</v>
      </c>
      <c r="D253" s="79">
        <f t="shared" si="9"/>
        <v>7684.2</v>
      </c>
      <c r="E253" s="13">
        <v>3.5</v>
      </c>
      <c r="F253" s="79">
        <f t="shared" si="10"/>
        <v>448.245</v>
      </c>
      <c r="G253" s="13">
        <v>2279</v>
      </c>
      <c r="H253" s="13">
        <v>253</v>
      </c>
      <c r="I253" s="41">
        <f t="shared" si="11"/>
        <v>111.01360245721808</v>
      </c>
      <c r="J253" s="13">
        <v>3.34</v>
      </c>
      <c r="K253" s="36">
        <v>27</v>
      </c>
      <c r="L253" s="13">
        <v>0.74</v>
      </c>
      <c r="M253" s="14">
        <v>161</v>
      </c>
      <c r="N253" s="35">
        <v>12.2</v>
      </c>
      <c r="O253" s="14">
        <v>370</v>
      </c>
      <c r="P253" s="48">
        <v>36.799999999999997</v>
      </c>
      <c r="Q253" s="14">
        <v>251</v>
      </c>
      <c r="R253" s="8">
        <v>9.1</v>
      </c>
      <c r="S253" s="13">
        <v>7.63</v>
      </c>
    </row>
    <row r="254" spans="1:19" x14ac:dyDescent="0.25">
      <c r="A254" s="17">
        <v>45910</v>
      </c>
      <c r="B254" s="13">
        <v>12907</v>
      </c>
      <c r="C254" s="13">
        <v>60</v>
      </c>
      <c r="D254" s="79">
        <f t="shared" si="9"/>
        <v>7744.2</v>
      </c>
      <c r="E254" s="13">
        <v>3.4</v>
      </c>
      <c r="F254" s="79">
        <f t="shared" si="10"/>
        <v>438.83799999999997</v>
      </c>
      <c r="G254" s="13">
        <v>2299</v>
      </c>
      <c r="H254" s="13">
        <v>214</v>
      </c>
      <c r="I254" s="41">
        <f t="shared" si="11"/>
        <v>93.083949543279687</v>
      </c>
      <c r="J254" s="13">
        <v>2.7</v>
      </c>
      <c r="K254" s="36">
        <v>29</v>
      </c>
      <c r="L254" s="13">
        <v>0.32</v>
      </c>
      <c r="M254" s="14">
        <v>168</v>
      </c>
      <c r="N254" s="35">
        <v>13.9</v>
      </c>
      <c r="O254" s="14">
        <v>370</v>
      </c>
      <c r="P254" s="47">
        <v>37</v>
      </c>
      <c r="Q254" s="14">
        <v>247</v>
      </c>
      <c r="R254" s="8">
        <v>8.3000000000000007</v>
      </c>
      <c r="S254" s="13">
        <v>7.6</v>
      </c>
    </row>
    <row r="255" spans="1:19" x14ac:dyDescent="0.25">
      <c r="A255" s="17">
        <v>45911</v>
      </c>
      <c r="B255" s="13">
        <v>12907</v>
      </c>
      <c r="C255" s="13">
        <v>60</v>
      </c>
      <c r="D255" s="79">
        <f t="shared" si="9"/>
        <v>7744.2</v>
      </c>
      <c r="E255" s="13">
        <v>3.4</v>
      </c>
      <c r="F255" s="79">
        <f t="shared" si="10"/>
        <v>438.83799999999997</v>
      </c>
      <c r="G255" s="13">
        <v>2293</v>
      </c>
      <c r="H255" s="13">
        <v>220</v>
      </c>
      <c r="I255" s="41">
        <f t="shared" si="11"/>
        <v>95.944177932839082</v>
      </c>
      <c r="J255" s="13">
        <v>3.2</v>
      </c>
      <c r="K255" s="36">
        <v>29</v>
      </c>
      <c r="L255" s="13">
        <v>0.56000000000000005</v>
      </c>
      <c r="M255" s="14">
        <v>170</v>
      </c>
      <c r="N255" s="35">
        <v>13.2</v>
      </c>
      <c r="O255" s="14">
        <v>330</v>
      </c>
      <c r="P255" s="47">
        <v>34</v>
      </c>
      <c r="Q255" s="14">
        <v>253</v>
      </c>
      <c r="R255" s="8">
        <v>8</v>
      </c>
      <c r="S255" s="13">
        <v>7.62</v>
      </c>
    </row>
    <row r="256" spans="1:19" x14ac:dyDescent="0.25">
      <c r="A256" s="17">
        <v>45912</v>
      </c>
      <c r="B256" s="13">
        <v>12907</v>
      </c>
      <c r="C256" s="13">
        <v>60</v>
      </c>
      <c r="D256" s="79">
        <f t="shared" si="9"/>
        <v>7744.2</v>
      </c>
      <c r="E256" s="13">
        <v>3.3</v>
      </c>
      <c r="F256" s="79">
        <f t="shared" si="10"/>
        <v>425.93099999999998</v>
      </c>
      <c r="G256" s="13">
        <v>2281</v>
      </c>
      <c r="H256" s="13">
        <v>251</v>
      </c>
      <c r="I256" s="41">
        <f t="shared" si="11"/>
        <v>110.03945637878124</v>
      </c>
      <c r="J256" s="13">
        <v>2.95</v>
      </c>
      <c r="K256" s="36">
        <v>31</v>
      </c>
      <c r="L256" s="13">
        <v>0.91</v>
      </c>
      <c r="M256" s="14">
        <v>153</v>
      </c>
      <c r="N256" s="35">
        <v>15</v>
      </c>
      <c r="O256" s="14">
        <v>340</v>
      </c>
      <c r="P256" s="48">
        <v>40.299999999999997</v>
      </c>
      <c r="Q256" s="14">
        <v>248</v>
      </c>
      <c r="R256" s="8">
        <v>10</v>
      </c>
      <c r="S256" s="13">
        <v>7.57</v>
      </c>
    </row>
    <row r="257" spans="1:19" x14ac:dyDescent="0.25">
      <c r="A257" s="17">
        <v>45913</v>
      </c>
      <c r="B257" s="13">
        <v>12706</v>
      </c>
      <c r="C257" s="13">
        <v>60</v>
      </c>
      <c r="D257" s="79">
        <f t="shared" si="9"/>
        <v>7623.6</v>
      </c>
      <c r="E257" s="13">
        <v>3.5</v>
      </c>
      <c r="F257" s="79">
        <f t="shared" si="10"/>
        <v>444.71</v>
      </c>
      <c r="G257" s="13">
        <v>2278</v>
      </c>
      <c r="H257" s="13">
        <v>226</v>
      </c>
      <c r="I257" s="41">
        <f t="shared" si="11"/>
        <v>99.20983318700614</v>
      </c>
      <c r="J257" s="13">
        <v>3.4</v>
      </c>
      <c r="K257" s="36">
        <v>28</v>
      </c>
      <c r="L257" s="13">
        <v>0.9</v>
      </c>
      <c r="M257" s="14">
        <v>180</v>
      </c>
      <c r="N257" s="35">
        <v>13.1</v>
      </c>
      <c r="O257" s="14">
        <v>370</v>
      </c>
      <c r="P257" s="48">
        <v>40.200000000000003</v>
      </c>
      <c r="Q257" s="14">
        <v>252</v>
      </c>
      <c r="R257" s="8">
        <v>9</v>
      </c>
      <c r="S257" s="13">
        <v>7.64</v>
      </c>
    </row>
    <row r="258" spans="1:19" x14ac:dyDescent="0.25">
      <c r="A258" s="17">
        <v>45914</v>
      </c>
      <c r="B258" s="13">
        <v>12906</v>
      </c>
      <c r="C258" s="13">
        <v>60</v>
      </c>
      <c r="D258" s="79">
        <f t="shared" ref="D258:D321" si="12">(C258*B258)/100</f>
        <v>7743.6</v>
      </c>
      <c r="E258" s="13">
        <v>3.5</v>
      </c>
      <c r="F258" s="79">
        <f t="shared" ref="F258:F321" si="13">(E258*B258)/100</f>
        <v>451.71</v>
      </c>
      <c r="G258" s="13">
        <v>2286</v>
      </c>
      <c r="H258" s="13">
        <v>230</v>
      </c>
      <c r="I258" s="41">
        <f t="shared" si="11"/>
        <v>100.61242344706912</v>
      </c>
      <c r="J258" s="13">
        <v>2.7</v>
      </c>
      <c r="K258" s="36">
        <v>27</v>
      </c>
      <c r="L258" s="13">
        <v>0.32</v>
      </c>
      <c r="M258" s="14">
        <v>148</v>
      </c>
      <c r="N258" s="35">
        <v>12.6</v>
      </c>
      <c r="O258" s="14">
        <v>390</v>
      </c>
      <c r="P258" s="47">
        <v>38</v>
      </c>
      <c r="Q258" s="14">
        <v>246</v>
      </c>
      <c r="R258" s="8">
        <v>10</v>
      </c>
      <c r="S258" s="13">
        <v>7.6</v>
      </c>
    </row>
    <row r="259" spans="1:19" x14ac:dyDescent="0.25">
      <c r="A259" s="17">
        <v>45915</v>
      </c>
      <c r="B259" s="13">
        <v>12906</v>
      </c>
      <c r="C259" s="13">
        <v>60</v>
      </c>
      <c r="D259" s="79">
        <f t="shared" si="12"/>
        <v>7743.6</v>
      </c>
      <c r="E259" s="13">
        <v>3.5</v>
      </c>
      <c r="F259" s="79">
        <f t="shared" si="13"/>
        <v>451.71</v>
      </c>
      <c r="G259" s="13">
        <v>2302</v>
      </c>
      <c r="H259" s="13">
        <v>228</v>
      </c>
      <c r="I259" s="41">
        <f t="shared" ref="I259:I322" si="14">(H259*1000)/G259</f>
        <v>99.044309296264117</v>
      </c>
      <c r="J259" s="13">
        <v>3.2</v>
      </c>
      <c r="K259" s="36">
        <v>29</v>
      </c>
      <c r="L259" s="13">
        <v>0.4</v>
      </c>
      <c r="M259" s="14">
        <v>169</v>
      </c>
      <c r="N259" s="35">
        <v>12.4</v>
      </c>
      <c r="O259" s="14">
        <v>330</v>
      </c>
      <c r="P259" s="47">
        <v>35</v>
      </c>
      <c r="Q259" s="14">
        <v>100</v>
      </c>
      <c r="R259" s="8">
        <v>7</v>
      </c>
      <c r="S259" s="13">
        <v>7.61</v>
      </c>
    </row>
    <row r="260" spans="1:19" x14ac:dyDescent="0.25">
      <c r="A260" s="17">
        <v>45916</v>
      </c>
      <c r="B260" s="13">
        <v>12907</v>
      </c>
      <c r="C260" s="13">
        <v>60</v>
      </c>
      <c r="D260" s="79">
        <f t="shared" si="12"/>
        <v>7744.2</v>
      </c>
      <c r="E260" s="13">
        <v>3.4</v>
      </c>
      <c r="F260" s="79">
        <f t="shared" si="13"/>
        <v>438.83799999999997</v>
      </c>
      <c r="G260" s="13">
        <v>2301</v>
      </c>
      <c r="H260" s="13">
        <v>240</v>
      </c>
      <c r="I260" s="41">
        <f t="shared" si="14"/>
        <v>104.30247718383312</v>
      </c>
      <c r="J260" s="13">
        <v>2.92</v>
      </c>
      <c r="K260" s="36">
        <v>29</v>
      </c>
      <c r="L260" s="13">
        <v>0.44</v>
      </c>
      <c r="M260" s="14">
        <v>174</v>
      </c>
      <c r="N260" s="35">
        <v>13.5</v>
      </c>
      <c r="O260" s="14">
        <v>340</v>
      </c>
      <c r="P260" s="47">
        <v>38</v>
      </c>
      <c r="Q260" s="14">
        <v>249</v>
      </c>
      <c r="R260" s="8">
        <v>10</v>
      </c>
      <c r="S260" s="13">
        <v>7.57</v>
      </c>
    </row>
    <row r="261" spans="1:19" x14ac:dyDescent="0.25">
      <c r="A261" s="17">
        <v>45917</v>
      </c>
      <c r="B261" s="13">
        <v>12794</v>
      </c>
      <c r="C261" s="13">
        <v>67</v>
      </c>
      <c r="D261" s="79">
        <f t="shared" si="12"/>
        <v>8571.98</v>
      </c>
      <c r="E261" s="13">
        <v>3.6</v>
      </c>
      <c r="F261" s="79">
        <f t="shared" si="13"/>
        <v>460.584</v>
      </c>
      <c r="G261" s="13">
        <v>2304</v>
      </c>
      <c r="H261" s="13">
        <v>246</v>
      </c>
      <c r="I261" s="41">
        <f t="shared" si="14"/>
        <v>106.77083333333333</v>
      </c>
      <c r="J261" s="13">
        <v>3.1</v>
      </c>
      <c r="K261" s="36">
        <v>27</v>
      </c>
      <c r="L261" s="13">
        <v>0.86</v>
      </c>
      <c r="M261" s="14">
        <v>171</v>
      </c>
      <c r="N261" s="35">
        <v>11.5</v>
      </c>
      <c r="O261" s="14">
        <v>400</v>
      </c>
      <c r="P261" s="48">
        <v>29.3</v>
      </c>
      <c r="Q261" s="14">
        <v>254</v>
      </c>
      <c r="R261" s="8">
        <v>9</v>
      </c>
      <c r="S261" s="13">
        <v>7.63</v>
      </c>
    </row>
    <row r="262" spans="1:19" x14ac:dyDescent="0.25">
      <c r="A262" s="17">
        <v>45918</v>
      </c>
      <c r="B262" s="13">
        <v>12807</v>
      </c>
      <c r="C262" s="13">
        <v>67</v>
      </c>
      <c r="D262" s="79">
        <f t="shared" si="12"/>
        <v>8580.69</v>
      </c>
      <c r="E262" s="13">
        <v>3.3</v>
      </c>
      <c r="F262" s="79">
        <f t="shared" si="13"/>
        <v>422.63099999999997</v>
      </c>
      <c r="G262" s="13">
        <v>2288</v>
      </c>
      <c r="H262" s="13">
        <v>222</v>
      </c>
      <c r="I262" s="41">
        <f t="shared" si="14"/>
        <v>97.027972027972027</v>
      </c>
      <c r="J262" s="13">
        <v>2.9</v>
      </c>
      <c r="K262" s="36">
        <v>30</v>
      </c>
      <c r="L262" s="13">
        <v>0.86</v>
      </c>
      <c r="M262" s="14">
        <v>166</v>
      </c>
      <c r="N262" s="35">
        <v>13.5</v>
      </c>
      <c r="O262" s="14">
        <v>430</v>
      </c>
      <c r="P262" s="47">
        <v>37</v>
      </c>
      <c r="Q262" s="14">
        <v>247</v>
      </c>
      <c r="R262" s="8">
        <v>10.6</v>
      </c>
      <c r="S262" s="13">
        <v>7.6</v>
      </c>
    </row>
    <row r="263" spans="1:19" x14ac:dyDescent="0.25">
      <c r="A263" s="17">
        <v>45919</v>
      </c>
      <c r="B263" s="13">
        <v>13170</v>
      </c>
      <c r="C263" s="13">
        <v>67</v>
      </c>
      <c r="D263" s="79">
        <f t="shared" si="12"/>
        <v>8823.9</v>
      </c>
      <c r="E263" s="13">
        <v>3.5</v>
      </c>
      <c r="F263" s="79">
        <f t="shared" si="13"/>
        <v>460.95</v>
      </c>
      <c r="G263" s="13">
        <v>2281</v>
      </c>
      <c r="H263" s="13">
        <v>247</v>
      </c>
      <c r="I263" s="41">
        <f t="shared" si="14"/>
        <v>108.28583954405963</v>
      </c>
      <c r="J263" s="13">
        <v>3.05</v>
      </c>
      <c r="K263" s="36">
        <v>30</v>
      </c>
      <c r="L263" s="13">
        <v>0.82</v>
      </c>
      <c r="M263" s="14">
        <v>164</v>
      </c>
      <c r="N263" s="35">
        <v>14.4</v>
      </c>
      <c r="O263" s="14">
        <v>420</v>
      </c>
      <c r="P263" s="47">
        <v>39</v>
      </c>
      <c r="Q263" s="14">
        <v>250</v>
      </c>
      <c r="R263" s="8">
        <v>11</v>
      </c>
      <c r="S263" s="13">
        <v>7.62</v>
      </c>
    </row>
    <row r="264" spans="1:19" x14ac:dyDescent="0.25">
      <c r="A264" s="17">
        <v>45920</v>
      </c>
      <c r="B264" s="13">
        <v>13457</v>
      </c>
      <c r="C264" s="13">
        <v>67</v>
      </c>
      <c r="D264" s="79">
        <f t="shared" si="12"/>
        <v>9016.19</v>
      </c>
      <c r="E264" s="13">
        <v>3.6</v>
      </c>
      <c r="F264" s="79">
        <f t="shared" si="13"/>
        <v>484.45200000000006</v>
      </c>
      <c r="G264" s="13">
        <v>2309</v>
      </c>
      <c r="H264" s="13">
        <v>252</v>
      </c>
      <c r="I264" s="41">
        <f t="shared" si="14"/>
        <v>109.13815504547424</v>
      </c>
      <c r="J264" s="13">
        <v>3.3</v>
      </c>
      <c r="K264" s="36">
        <v>30</v>
      </c>
      <c r="L264" s="13">
        <v>0.5</v>
      </c>
      <c r="M264" s="14">
        <v>179</v>
      </c>
      <c r="N264" s="35">
        <v>13</v>
      </c>
      <c r="O264" s="14">
        <v>380</v>
      </c>
      <c r="P264" s="47">
        <v>38</v>
      </c>
      <c r="Q264" s="14">
        <v>253</v>
      </c>
      <c r="R264" s="8">
        <v>10</v>
      </c>
      <c r="S264" s="13">
        <v>7.56</v>
      </c>
    </row>
    <row r="265" spans="1:19" x14ac:dyDescent="0.25">
      <c r="A265" s="17">
        <v>45921</v>
      </c>
      <c r="B265" s="13">
        <v>13432</v>
      </c>
      <c r="C265" s="13">
        <v>67</v>
      </c>
      <c r="D265" s="79">
        <f t="shared" si="12"/>
        <v>8999.44</v>
      </c>
      <c r="E265" s="13">
        <v>3.6</v>
      </c>
      <c r="F265" s="79">
        <f t="shared" si="13"/>
        <v>483.55200000000002</v>
      </c>
      <c r="G265" s="13">
        <v>2275</v>
      </c>
      <c r="H265" s="13">
        <v>218</v>
      </c>
      <c r="I265" s="41">
        <f t="shared" si="14"/>
        <v>95.824175824175825</v>
      </c>
      <c r="J265" s="13">
        <v>2.9</v>
      </c>
      <c r="K265" s="36">
        <v>29</v>
      </c>
      <c r="L265" s="13">
        <v>0.37</v>
      </c>
      <c r="M265" s="14">
        <v>169</v>
      </c>
      <c r="N265" s="35">
        <v>12.8</v>
      </c>
      <c r="O265" s="14">
        <v>326</v>
      </c>
      <c r="P265" s="48">
        <v>34.799999999999997</v>
      </c>
      <c r="Q265" s="14">
        <v>245</v>
      </c>
      <c r="R265" s="8">
        <v>10</v>
      </c>
      <c r="S265" s="13">
        <v>7.64</v>
      </c>
    </row>
    <row r="266" spans="1:19" x14ac:dyDescent="0.25">
      <c r="A266" s="17">
        <v>45922</v>
      </c>
      <c r="B266" s="13">
        <v>12907</v>
      </c>
      <c r="C266" s="13">
        <v>67</v>
      </c>
      <c r="D266" s="79">
        <f t="shared" si="12"/>
        <v>8647.69</v>
      </c>
      <c r="E266" s="13">
        <v>3.4</v>
      </c>
      <c r="F266" s="79">
        <f t="shared" si="13"/>
        <v>438.83799999999997</v>
      </c>
      <c r="G266" s="13">
        <v>2279</v>
      </c>
      <c r="H266" s="13">
        <v>238</v>
      </c>
      <c r="I266" s="41">
        <f t="shared" si="14"/>
        <v>104.43176831943835</v>
      </c>
      <c r="J266" s="13">
        <v>3.52</v>
      </c>
      <c r="K266" s="36">
        <v>27</v>
      </c>
      <c r="L266" s="13">
        <v>0.8</v>
      </c>
      <c r="M266" s="14">
        <v>166</v>
      </c>
      <c r="N266" s="35">
        <v>12.9</v>
      </c>
      <c r="O266" s="14">
        <v>324</v>
      </c>
      <c r="P266" s="48">
        <v>38.700000000000003</v>
      </c>
      <c r="Q266" s="14">
        <v>251</v>
      </c>
      <c r="R266" s="8">
        <v>9</v>
      </c>
      <c r="S266" s="13">
        <v>7.6</v>
      </c>
    </row>
    <row r="267" spans="1:19" x14ac:dyDescent="0.25">
      <c r="A267" s="17">
        <v>45923</v>
      </c>
      <c r="B267" s="13">
        <v>12957</v>
      </c>
      <c r="C267" s="13">
        <v>67</v>
      </c>
      <c r="D267" s="79">
        <f t="shared" si="12"/>
        <v>8681.19</v>
      </c>
      <c r="E267" s="13">
        <v>3.3</v>
      </c>
      <c r="F267" s="79">
        <f t="shared" si="13"/>
        <v>427.58099999999996</v>
      </c>
      <c r="G267" s="13">
        <v>2283</v>
      </c>
      <c r="H267" s="13">
        <v>216</v>
      </c>
      <c r="I267" s="41">
        <f t="shared" si="14"/>
        <v>94.612352168199735</v>
      </c>
      <c r="J267" s="13">
        <v>3.1</v>
      </c>
      <c r="K267" s="36">
        <v>30</v>
      </c>
      <c r="L267" s="13">
        <v>0.71</v>
      </c>
      <c r="M267" s="14">
        <v>147</v>
      </c>
      <c r="N267" s="35">
        <v>13.7</v>
      </c>
      <c r="O267" s="14">
        <v>444</v>
      </c>
      <c r="P267" s="48">
        <v>42.2</v>
      </c>
      <c r="Q267" s="14">
        <v>248</v>
      </c>
      <c r="R267" s="8">
        <v>10.8</v>
      </c>
      <c r="S267" s="13">
        <v>7.61</v>
      </c>
    </row>
    <row r="268" spans="1:19" x14ac:dyDescent="0.25">
      <c r="A268" s="17">
        <v>45924</v>
      </c>
      <c r="B268" s="13">
        <v>13045</v>
      </c>
      <c r="C268" s="13">
        <v>67</v>
      </c>
      <c r="D268" s="79">
        <f t="shared" si="12"/>
        <v>8740.15</v>
      </c>
      <c r="E268" s="13">
        <v>3.5</v>
      </c>
      <c r="F268" s="79">
        <f t="shared" si="13"/>
        <v>456.57499999999999</v>
      </c>
      <c r="G268" s="13">
        <v>2293</v>
      </c>
      <c r="H268" s="13">
        <v>240</v>
      </c>
      <c r="I268" s="41">
        <f t="shared" si="14"/>
        <v>104.66637592673354</v>
      </c>
      <c r="J268" s="13">
        <v>2.8</v>
      </c>
      <c r="K268" s="36">
        <v>26</v>
      </c>
      <c r="L268" s="13">
        <v>0.66</v>
      </c>
      <c r="M268" s="14">
        <v>155</v>
      </c>
      <c r="N268" s="35">
        <v>10.9</v>
      </c>
      <c r="O268" s="14">
        <v>318</v>
      </c>
      <c r="P268" s="48">
        <v>33.5</v>
      </c>
      <c r="Q268" s="14">
        <v>252</v>
      </c>
      <c r="R268" s="8">
        <v>8</v>
      </c>
      <c r="S268" s="13">
        <v>7.58</v>
      </c>
    </row>
    <row r="269" spans="1:19" x14ac:dyDescent="0.25">
      <c r="A269" s="17">
        <v>45925</v>
      </c>
      <c r="B269" s="13">
        <v>12957</v>
      </c>
      <c r="C269" s="13">
        <v>67</v>
      </c>
      <c r="D269" s="79">
        <f t="shared" si="12"/>
        <v>8681.19</v>
      </c>
      <c r="E269" s="13">
        <v>3.5</v>
      </c>
      <c r="F269" s="79">
        <f t="shared" si="13"/>
        <v>453.495</v>
      </c>
      <c r="G269" s="13">
        <v>2304</v>
      </c>
      <c r="H269" s="13">
        <v>214</v>
      </c>
      <c r="I269" s="41">
        <f t="shared" si="14"/>
        <v>92.881944444444443</v>
      </c>
      <c r="J269" s="13">
        <v>3.6</v>
      </c>
      <c r="K269" s="36">
        <v>30</v>
      </c>
      <c r="L269" s="13">
        <v>0.89</v>
      </c>
      <c r="M269" s="14">
        <v>155</v>
      </c>
      <c r="N269" s="35">
        <v>13</v>
      </c>
      <c r="O269" s="14">
        <v>344</v>
      </c>
      <c r="P269" s="48">
        <v>38.4</v>
      </c>
      <c r="Q269" s="14">
        <v>246</v>
      </c>
      <c r="R269" s="8">
        <v>8.6999999999999993</v>
      </c>
      <c r="S269" s="13">
        <v>7.6</v>
      </c>
    </row>
    <row r="270" spans="1:19" x14ac:dyDescent="0.25">
      <c r="A270" s="17">
        <v>45926</v>
      </c>
      <c r="B270" s="13">
        <v>12907</v>
      </c>
      <c r="C270" s="13">
        <v>67</v>
      </c>
      <c r="D270" s="79">
        <f t="shared" si="12"/>
        <v>8647.69</v>
      </c>
      <c r="E270" s="13">
        <v>3.6</v>
      </c>
      <c r="F270" s="79">
        <f t="shared" si="13"/>
        <v>464.65200000000004</v>
      </c>
      <c r="G270" s="13">
        <v>2274</v>
      </c>
      <c r="H270" s="13">
        <v>231</v>
      </c>
      <c r="I270" s="41">
        <f t="shared" si="14"/>
        <v>101.58311345646437</v>
      </c>
      <c r="J270" s="13">
        <v>3</v>
      </c>
      <c r="K270" s="36">
        <v>29</v>
      </c>
      <c r="L270" s="13">
        <v>0.68</v>
      </c>
      <c r="M270" s="14">
        <v>158</v>
      </c>
      <c r="N270" s="35">
        <v>12.8</v>
      </c>
      <c r="O270" s="14">
        <v>322</v>
      </c>
      <c r="P270" s="47">
        <v>37</v>
      </c>
      <c r="Q270" s="14">
        <v>254</v>
      </c>
      <c r="R270" s="8">
        <v>10</v>
      </c>
      <c r="S270" s="13">
        <v>7.55</v>
      </c>
    </row>
    <row r="271" spans="1:19" x14ac:dyDescent="0.25">
      <c r="A271" s="17">
        <v>45927</v>
      </c>
      <c r="B271" s="13">
        <v>12682</v>
      </c>
      <c r="C271" s="13">
        <v>67</v>
      </c>
      <c r="D271" s="79">
        <f t="shared" si="12"/>
        <v>8496.94</v>
      </c>
      <c r="E271" s="13">
        <v>3.3</v>
      </c>
      <c r="F271" s="79">
        <f t="shared" si="13"/>
        <v>418.50599999999997</v>
      </c>
      <c r="G271" s="13">
        <v>2295</v>
      </c>
      <c r="H271" s="13">
        <v>230</v>
      </c>
      <c r="I271" s="41">
        <f t="shared" si="14"/>
        <v>100.21786492374727</v>
      </c>
      <c r="J271" s="13">
        <v>3.4</v>
      </c>
      <c r="K271" s="36">
        <v>29</v>
      </c>
      <c r="L271" s="13">
        <v>0.27</v>
      </c>
      <c r="M271" s="14">
        <v>160</v>
      </c>
      <c r="N271" s="35">
        <v>13.6</v>
      </c>
      <c r="O271" s="14">
        <v>325</v>
      </c>
      <c r="P271" s="47">
        <v>38</v>
      </c>
      <c r="Q271" s="14">
        <v>250</v>
      </c>
      <c r="R271" s="8">
        <v>9.3000000000000007</v>
      </c>
      <c r="S271" s="13">
        <v>7.64</v>
      </c>
    </row>
    <row r="272" spans="1:19" x14ac:dyDescent="0.25">
      <c r="A272" s="17">
        <v>45928</v>
      </c>
      <c r="B272" s="13">
        <v>12907</v>
      </c>
      <c r="C272" s="13">
        <v>67</v>
      </c>
      <c r="D272" s="79">
        <f t="shared" si="12"/>
        <v>8647.69</v>
      </c>
      <c r="E272" s="13">
        <v>3.5</v>
      </c>
      <c r="F272" s="79">
        <f t="shared" si="13"/>
        <v>451.745</v>
      </c>
      <c r="G272" s="13">
        <v>2380</v>
      </c>
      <c r="H272" s="13">
        <v>244</v>
      </c>
      <c r="I272" s="41">
        <f t="shared" si="14"/>
        <v>102.52100840336135</v>
      </c>
      <c r="J272" s="13">
        <v>3.2</v>
      </c>
      <c r="K272" s="36">
        <v>28</v>
      </c>
      <c r="L272" s="13">
        <v>0.78</v>
      </c>
      <c r="M272" s="14">
        <v>155</v>
      </c>
      <c r="N272" s="35">
        <v>12</v>
      </c>
      <c r="O272" s="14">
        <v>341</v>
      </c>
      <c r="P272" s="48">
        <v>32.6</v>
      </c>
      <c r="Q272" s="14">
        <v>247</v>
      </c>
      <c r="R272" s="8">
        <v>10</v>
      </c>
      <c r="S272" s="13">
        <v>7.6</v>
      </c>
    </row>
    <row r="273" spans="1:19" x14ac:dyDescent="0.25">
      <c r="A273" s="17">
        <v>45929</v>
      </c>
      <c r="B273" s="13">
        <v>12907</v>
      </c>
      <c r="C273" s="13">
        <v>67</v>
      </c>
      <c r="D273" s="79">
        <f t="shared" si="12"/>
        <v>8647.69</v>
      </c>
      <c r="E273" s="13">
        <v>3.6</v>
      </c>
      <c r="F273" s="79">
        <f t="shared" si="13"/>
        <v>464.65200000000004</v>
      </c>
      <c r="G273" s="13">
        <v>2365</v>
      </c>
      <c r="H273" s="13">
        <v>252</v>
      </c>
      <c r="I273" s="41">
        <f t="shared" si="14"/>
        <v>106.553911205074</v>
      </c>
      <c r="J273" s="13">
        <v>3.54</v>
      </c>
      <c r="K273" s="36">
        <v>30</v>
      </c>
      <c r="L273" s="13">
        <v>0.37</v>
      </c>
      <c r="M273" s="14">
        <v>150</v>
      </c>
      <c r="N273" s="35">
        <v>14</v>
      </c>
      <c r="O273" s="14">
        <v>328</v>
      </c>
      <c r="P273" s="48">
        <v>40.299999999999997</v>
      </c>
      <c r="Q273" s="14">
        <v>253</v>
      </c>
      <c r="R273" s="8">
        <v>10</v>
      </c>
      <c r="S273" s="13">
        <v>7.62</v>
      </c>
    </row>
    <row r="274" spans="1:19" x14ac:dyDescent="0.25">
      <c r="A274" s="17">
        <v>45930</v>
      </c>
      <c r="B274" s="13">
        <v>12907</v>
      </c>
      <c r="C274" s="13">
        <v>67</v>
      </c>
      <c r="D274" s="79">
        <f t="shared" si="12"/>
        <v>8647.69</v>
      </c>
      <c r="E274" s="13">
        <v>3.6</v>
      </c>
      <c r="F274" s="79">
        <f t="shared" si="13"/>
        <v>464.65200000000004</v>
      </c>
      <c r="G274" s="13">
        <v>2359</v>
      </c>
      <c r="H274" s="13">
        <v>221</v>
      </c>
      <c r="I274" s="41">
        <f t="shared" si="14"/>
        <v>93.683764306909708</v>
      </c>
      <c r="J274" s="13">
        <v>2.8</v>
      </c>
      <c r="K274" s="36">
        <v>30</v>
      </c>
      <c r="L274" s="13">
        <v>0.69</v>
      </c>
      <c r="M274" s="14">
        <v>177</v>
      </c>
      <c r="N274" s="35">
        <v>13.6</v>
      </c>
      <c r="O274" s="14">
        <v>319</v>
      </c>
      <c r="P274" s="47">
        <v>38</v>
      </c>
      <c r="Q274" s="14">
        <v>251</v>
      </c>
      <c r="R274" s="8">
        <v>9.9</v>
      </c>
      <c r="S274" s="13">
        <v>7.57</v>
      </c>
    </row>
    <row r="275" spans="1:19" x14ac:dyDescent="0.25">
      <c r="A275" s="17">
        <v>45931</v>
      </c>
      <c r="B275" s="13">
        <v>12670</v>
      </c>
      <c r="C275" s="13">
        <v>67</v>
      </c>
      <c r="D275" s="79">
        <f t="shared" si="12"/>
        <v>8488.9</v>
      </c>
      <c r="E275" s="13">
        <v>3.4</v>
      </c>
      <c r="F275" s="79">
        <f t="shared" si="13"/>
        <v>430.78</v>
      </c>
      <c r="G275" s="13">
        <v>2346</v>
      </c>
      <c r="H275" s="13">
        <v>230</v>
      </c>
      <c r="I275" s="41">
        <f t="shared" si="14"/>
        <v>98.039215686274517</v>
      </c>
      <c r="J275" s="13">
        <v>3.4</v>
      </c>
      <c r="K275" s="36">
        <v>26</v>
      </c>
      <c r="L275" s="13">
        <v>0.86</v>
      </c>
      <c r="M275" s="14">
        <v>147</v>
      </c>
      <c r="N275" s="35">
        <v>8</v>
      </c>
      <c r="O275" s="14">
        <v>326</v>
      </c>
      <c r="P275" s="48">
        <v>34.700000000000003</v>
      </c>
      <c r="Q275" s="14">
        <v>248</v>
      </c>
      <c r="R275" s="8">
        <v>7.2</v>
      </c>
      <c r="S275" s="13">
        <v>7.65</v>
      </c>
    </row>
    <row r="276" spans="1:19" x14ac:dyDescent="0.25">
      <c r="A276" s="17">
        <v>45932</v>
      </c>
      <c r="B276" s="13">
        <v>12707</v>
      </c>
      <c r="C276" s="13">
        <v>67</v>
      </c>
      <c r="D276" s="79">
        <f t="shared" si="12"/>
        <v>8513.69</v>
      </c>
      <c r="E276" s="13">
        <v>3.3</v>
      </c>
      <c r="F276" s="79">
        <f t="shared" si="13"/>
        <v>419.33099999999996</v>
      </c>
      <c r="G276" s="13">
        <v>2374</v>
      </c>
      <c r="H276" s="13">
        <v>253</v>
      </c>
      <c r="I276" s="41">
        <f t="shared" si="14"/>
        <v>106.57118786857625</v>
      </c>
      <c r="J276" s="13">
        <v>3.15</v>
      </c>
      <c r="K276" s="36">
        <v>26</v>
      </c>
      <c r="L276" s="13">
        <v>0.35</v>
      </c>
      <c r="M276" s="14">
        <v>178</v>
      </c>
      <c r="N276" s="35">
        <v>12</v>
      </c>
      <c r="O276" s="14">
        <v>500</v>
      </c>
      <c r="P276" s="47">
        <v>41</v>
      </c>
      <c r="Q276" s="14">
        <v>252</v>
      </c>
      <c r="R276" s="8">
        <v>9</v>
      </c>
      <c r="S276" s="13">
        <v>7.6</v>
      </c>
    </row>
    <row r="277" spans="1:19" x14ac:dyDescent="0.25">
      <c r="A277" s="17">
        <v>45933</v>
      </c>
      <c r="B277" s="13">
        <v>12936</v>
      </c>
      <c r="C277" s="13">
        <v>67</v>
      </c>
      <c r="D277" s="79">
        <f t="shared" si="12"/>
        <v>8667.1200000000008</v>
      </c>
      <c r="E277" s="13">
        <v>3.5</v>
      </c>
      <c r="F277" s="79">
        <f t="shared" si="13"/>
        <v>452.76</v>
      </c>
      <c r="G277" s="13">
        <v>2371</v>
      </c>
      <c r="H277" s="13">
        <v>227</v>
      </c>
      <c r="I277" s="41">
        <f t="shared" si="14"/>
        <v>95.740194010965837</v>
      </c>
      <c r="J277" s="13">
        <v>3.6</v>
      </c>
      <c r="K277" s="36">
        <v>25</v>
      </c>
      <c r="L277" s="13">
        <v>0.34</v>
      </c>
      <c r="M277" s="14">
        <v>171</v>
      </c>
      <c r="N277" s="35">
        <v>10.7</v>
      </c>
      <c r="O277" s="14">
        <v>328</v>
      </c>
      <c r="P277" s="47">
        <v>34</v>
      </c>
      <c r="Q277" s="14">
        <v>246</v>
      </c>
      <c r="R277" s="8">
        <v>8.1999999999999993</v>
      </c>
      <c r="S277" s="13">
        <v>7.61</v>
      </c>
    </row>
    <row r="278" spans="1:19" x14ac:dyDescent="0.25">
      <c r="A278" s="17">
        <v>45934</v>
      </c>
      <c r="B278" s="13">
        <v>12957</v>
      </c>
      <c r="C278" s="13">
        <v>67</v>
      </c>
      <c r="D278" s="79">
        <f t="shared" si="12"/>
        <v>8681.19</v>
      </c>
      <c r="E278" s="13">
        <v>3.5</v>
      </c>
      <c r="F278" s="79">
        <f t="shared" si="13"/>
        <v>453.495</v>
      </c>
      <c r="G278" s="13">
        <v>2345</v>
      </c>
      <c r="H278" s="13">
        <v>242</v>
      </c>
      <c r="I278" s="41">
        <f t="shared" si="14"/>
        <v>103.19829424307036</v>
      </c>
      <c r="J278" s="13">
        <v>2.8</v>
      </c>
      <c r="K278" s="36">
        <v>24.9</v>
      </c>
      <c r="L278" s="13">
        <v>0.34</v>
      </c>
      <c r="M278" s="14">
        <v>153</v>
      </c>
      <c r="N278" s="35">
        <v>10.5</v>
      </c>
      <c r="O278" s="14">
        <v>329</v>
      </c>
      <c r="P278" s="47">
        <v>29</v>
      </c>
      <c r="Q278" s="14">
        <v>250</v>
      </c>
      <c r="R278" s="8">
        <v>8</v>
      </c>
      <c r="S278" s="13">
        <v>7.56</v>
      </c>
    </row>
    <row r="279" spans="1:19" x14ac:dyDescent="0.25">
      <c r="A279" s="17">
        <v>45935</v>
      </c>
      <c r="B279" s="13">
        <v>13045</v>
      </c>
      <c r="C279" s="13">
        <v>59</v>
      </c>
      <c r="D279" s="79">
        <f t="shared" si="12"/>
        <v>7696.55</v>
      </c>
      <c r="E279" s="13">
        <v>3.5</v>
      </c>
      <c r="F279" s="79">
        <f t="shared" si="13"/>
        <v>456.57499999999999</v>
      </c>
      <c r="G279" s="13">
        <v>2365</v>
      </c>
      <c r="H279" s="13">
        <v>226</v>
      </c>
      <c r="I279" s="41">
        <f t="shared" si="14"/>
        <v>95.560253699788589</v>
      </c>
      <c r="J279" s="13">
        <v>3.4</v>
      </c>
      <c r="K279" s="36">
        <v>25.3</v>
      </c>
      <c r="L279" s="13">
        <v>0.62</v>
      </c>
      <c r="M279" s="14">
        <v>146</v>
      </c>
      <c r="N279" s="35">
        <v>11.1</v>
      </c>
      <c r="O279" s="14">
        <v>336</v>
      </c>
      <c r="P279" s="48">
        <v>29.4</v>
      </c>
      <c r="Q279" s="14">
        <v>254</v>
      </c>
      <c r="R279" s="8">
        <v>8</v>
      </c>
      <c r="S279" s="13">
        <v>7.63</v>
      </c>
    </row>
    <row r="280" spans="1:19" x14ac:dyDescent="0.25">
      <c r="A280" s="17">
        <v>45936</v>
      </c>
      <c r="B280" s="13">
        <v>12957</v>
      </c>
      <c r="C280" s="13">
        <v>59</v>
      </c>
      <c r="D280" s="79">
        <f t="shared" si="12"/>
        <v>7644.63</v>
      </c>
      <c r="E280" s="13">
        <v>3.4</v>
      </c>
      <c r="F280" s="79">
        <f t="shared" si="13"/>
        <v>440.53799999999995</v>
      </c>
      <c r="G280" s="13">
        <v>2373</v>
      </c>
      <c r="H280" s="13">
        <v>246</v>
      </c>
      <c r="I280" s="41">
        <f t="shared" si="14"/>
        <v>103.66624525916561</v>
      </c>
      <c r="J280" s="13">
        <v>3.12</v>
      </c>
      <c r="K280" s="36">
        <v>25</v>
      </c>
      <c r="L280" s="13">
        <v>0.44</v>
      </c>
      <c r="M280" s="14">
        <v>152</v>
      </c>
      <c r="N280" s="35">
        <v>10</v>
      </c>
      <c r="O280" s="14">
        <v>317</v>
      </c>
      <c r="P280" s="47">
        <v>35</v>
      </c>
      <c r="Q280" s="14">
        <v>249</v>
      </c>
      <c r="R280" s="8">
        <v>6.8</v>
      </c>
      <c r="S280" s="13">
        <v>7.6</v>
      </c>
    </row>
    <row r="281" spans="1:19" x14ac:dyDescent="0.25">
      <c r="A281" s="17">
        <v>45937</v>
      </c>
      <c r="B281" s="13">
        <v>12907</v>
      </c>
      <c r="C281" s="13">
        <v>59</v>
      </c>
      <c r="D281" s="79">
        <f t="shared" si="12"/>
        <v>7615.13</v>
      </c>
      <c r="E281" s="13">
        <v>3.4</v>
      </c>
      <c r="F281" s="79">
        <f t="shared" si="13"/>
        <v>438.83799999999997</v>
      </c>
      <c r="G281" s="13">
        <v>2361</v>
      </c>
      <c r="H281" s="13">
        <v>241</v>
      </c>
      <c r="I281" s="41">
        <f t="shared" si="14"/>
        <v>102.07539178314273</v>
      </c>
      <c r="J281" s="13">
        <v>3.3</v>
      </c>
      <c r="K281" s="36">
        <v>24</v>
      </c>
      <c r="L281" s="13">
        <v>0.65</v>
      </c>
      <c r="M281" s="14">
        <v>153</v>
      </c>
      <c r="N281" s="35">
        <v>10.7</v>
      </c>
      <c r="O281" s="14">
        <v>331</v>
      </c>
      <c r="P281" s="48">
        <v>33.5</v>
      </c>
      <c r="Q281" s="14">
        <v>251</v>
      </c>
      <c r="R281" s="8">
        <v>9</v>
      </c>
      <c r="S281" s="13">
        <v>7.62</v>
      </c>
    </row>
    <row r="282" spans="1:19" x14ac:dyDescent="0.25">
      <c r="A282" s="17">
        <v>45938</v>
      </c>
      <c r="B282" s="13">
        <v>12682</v>
      </c>
      <c r="C282" s="13">
        <v>59</v>
      </c>
      <c r="D282" s="79">
        <f t="shared" si="12"/>
        <v>7482.38</v>
      </c>
      <c r="E282" s="13">
        <v>3.6</v>
      </c>
      <c r="F282" s="79">
        <f t="shared" si="13"/>
        <v>456.55200000000002</v>
      </c>
      <c r="G282" s="13">
        <v>2348</v>
      </c>
      <c r="H282" s="13">
        <v>236</v>
      </c>
      <c r="I282" s="41">
        <f t="shared" si="14"/>
        <v>100.51107325383305</v>
      </c>
      <c r="J282" s="13">
        <v>3.1</v>
      </c>
      <c r="K282" s="36">
        <v>22.5</v>
      </c>
      <c r="L282" s="13">
        <v>0.72</v>
      </c>
      <c r="M282" s="14">
        <v>168</v>
      </c>
      <c r="N282" s="35">
        <v>8.9</v>
      </c>
      <c r="O282" s="14">
        <v>425</v>
      </c>
      <c r="P282" s="48">
        <v>30.7</v>
      </c>
      <c r="Q282" s="14">
        <v>120</v>
      </c>
      <c r="R282" s="8">
        <v>7</v>
      </c>
      <c r="S282" s="13">
        <v>7.57</v>
      </c>
    </row>
    <row r="283" spans="1:19" x14ac:dyDescent="0.25">
      <c r="A283" s="17">
        <v>45939</v>
      </c>
      <c r="B283" s="13">
        <v>12906</v>
      </c>
      <c r="C283" s="13">
        <v>59</v>
      </c>
      <c r="D283" s="79">
        <f t="shared" si="12"/>
        <v>7614.54</v>
      </c>
      <c r="E283" s="13">
        <v>3.3</v>
      </c>
      <c r="F283" s="79">
        <f t="shared" si="13"/>
        <v>425.89799999999997</v>
      </c>
      <c r="G283" s="13">
        <v>2377</v>
      </c>
      <c r="H283" s="13">
        <v>249</v>
      </c>
      <c r="I283" s="41">
        <f t="shared" si="14"/>
        <v>104.75389145982331</v>
      </c>
      <c r="J283" s="13">
        <v>3.25</v>
      </c>
      <c r="K283" s="36">
        <v>25</v>
      </c>
      <c r="L283" s="13">
        <v>0.4</v>
      </c>
      <c r="M283" s="14">
        <v>144</v>
      </c>
      <c r="N283" s="35">
        <v>12</v>
      </c>
      <c r="O283" s="14">
        <v>350</v>
      </c>
      <c r="P283" s="48">
        <v>28.9</v>
      </c>
      <c r="Q283" s="14">
        <v>253</v>
      </c>
      <c r="R283" s="8">
        <v>9.9</v>
      </c>
      <c r="S283" s="13">
        <v>7.64</v>
      </c>
    </row>
    <row r="284" spans="1:19" x14ac:dyDescent="0.25">
      <c r="A284" s="17">
        <v>45940</v>
      </c>
      <c r="B284" s="13">
        <v>12693</v>
      </c>
      <c r="C284" s="13">
        <v>59</v>
      </c>
      <c r="D284" s="79">
        <f t="shared" si="12"/>
        <v>7488.87</v>
      </c>
      <c r="E284" s="13">
        <v>3.5</v>
      </c>
      <c r="F284" s="79">
        <f t="shared" si="13"/>
        <v>444.255</v>
      </c>
      <c r="G284" s="13">
        <v>2368</v>
      </c>
      <c r="H284" s="13">
        <v>258</v>
      </c>
      <c r="I284" s="41">
        <f t="shared" si="14"/>
        <v>108.95270270270271</v>
      </c>
      <c r="J284" s="13">
        <v>3.2</v>
      </c>
      <c r="K284" s="36">
        <v>22</v>
      </c>
      <c r="L284" s="13">
        <v>0.67</v>
      </c>
      <c r="M284" s="14">
        <v>165</v>
      </c>
      <c r="N284" s="35">
        <v>14</v>
      </c>
      <c r="O284" s="14">
        <v>470</v>
      </c>
      <c r="P284" s="47">
        <v>43</v>
      </c>
      <c r="Q284" s="14">
        <v>248</v>
      </c>
      <c r="R284" s="8">
        <v>11</v>
      </c>
      <c r="S284" s="13">
        <v>7.6</v>
      </c>
    </row>
    <row r="285" spans="1:19" x14ac:dyDescent="0.25">
      <c r="A285" s="17">
        <v>45941</v>
      </c>
      <c r="B285" s="13">
        <v>13207</v>
      </c>
      <c r="C285" s="13">
        <v>59</v>
      </c>
      <c r="D285" s="79">
        <f t="shared" si="12"/>
        <v>7792.13</v>
      </c>
      <c r="E285" s="13">
        <v>3.6</v>
      </c>
      <c r="F285" s="79">
        <f t="shared" si="13"/>
        <v>475.45200000000006</v>
      </c>
      <c r="G285" s="13">
        <v>2349</v>
      </c>
      <c r="H285" s="13">
        <v>230</v>
      </c>
      <c r="I285" s="41">
        <f t="shared" si="14"/>
        <v>97.914005959982973</v>
      </c>
      <c r="J285" s="13">
        <v>2.8</v>
      </c>
      <c r="K285" s="36">
        <v>24</v>
      </c>
      <c r="L285" s="13">
        <v>0.44</v>
      </c>
      <c r="M285" s="14">
        <v>161</v>
      </c>
      <c r="N285" s="35">
        <v>12</v>
      </c>
      <c r="O285" s="14">
        <v>430</v>
      </c>
      <c r="P285" s="48">
        <v>37</v>
      </c>
      <c r="Q285" s="14">
        <v>252</v>
      </c>
      <c r="R285" s="8">
        <v>9</v>
      </c>
      <c r="S285" s="13">
        <v>7.61</v>
      </c>
    </row>
    <row r="286" spans="1:19" x14ac:dyDescent="0.25">
      <c r="A286" s="17">
        <v>45942</v>
      </c>
      <c r="B286" s="13">
        <v>12795</v>
      </c>
      <c r="C286" s="13">
        <v>59</v>
      </c>
      <c r="D286" s="79">
        <f t="shared" si="12"/>
        <v>7549.05</v>
      </c>
      <c r="E286" s="13">
        <v>3.6</v>
      </c>
      <c r="F286" s="79">
        <f t="shared" si="13"/>
        <v>460.62</v>
      </c>
      <c r="G286" s="13">
        <v>2356</v>
      </c>
      <c r="H286" s="13">
        <v>237</v>
      </c>
      <c r="I286" s="41">
        <f t="shared" si="14"/>
        <v>100.59422750424449</v>
      </c>
      <c r="J286" s="13">
        <v>3.42</v>
      </c>
      <c r="K286" s="36">
        <v>23</v>
      </c>
      <c r="L286" s="13">
        <v>0.57999999999999996</v>
      </c>
      <c r="M286" s="14">
        <v>183</v>
      </c>
      <c r="N286" s="35">
        <v>10</v>
      </c>
      <c r="O286" s="14">
        <v>450</v>
      </c>
      <c r="P286" s="48">
        <v>27.2</v>
      </c>
      <c r="Q286" s="14">
        <v>246</v>
      </c>
      <c r="R286" s="8">
        <v>6.8</v>
      </c>
      <c r="S286" s="13">
        <v>7.58</v>
      </c>
    </row>
    <row r="287" spans="1:19" x14ac:dyDescent="0.25">
      <c r="A287" s="17">
        <v>45943</v>
      </c>
      <c r="B287" s="13">
        <v>12807</v>
      </c>
      <c r="C287" s="13">
        <v>59</v>
      </c>
      <c r="D287" s="79">
        <f t="shared" si="12"/>
        <v>7556.13</v>
      </c>
      <c r="E287" s="13">
        <v>3.4</v>
      </c>
      <c r="F287" s="79">
        <f t="shared" si="13"/>
        <v>435.43799999999993</v>
      </c>
      <c r="G287" s="13">
        <v>2375</v>
      </c>
      <c r="H287" s="13">
        <v>251</v>
      </c>
      <c r="I287" s="41">
        <f t="shared" si="14"/>
        <v>105.68421052631579</v>
      </c>
      <c r="J287" s="13">
        <v>3.1</v>
      </c>
      <c r="K287" s="36">
        <v>24.7</v>
      </c>
      <c r="L287" s="13">
        <v>0.84</v>
      </c>
      <c r="M287" s="14">
        <v>176</v>
      </c>
      <c r="N287" s="35">
        <v>16</v>
      </c>
      <c r="O287" s="14">
        <v>500</v>
      </c>
      <c r="P287" s="48">
        <v>41.5</v>
      </c>
      <c r="Q287" s="14">
        <v>251</v>
      </c>
      <c r="R287" s="8">
        <v>10.3</v>
      </c>
      <c r="S287" s="13">
        <v>7.5</v>
      </c>
    </row>
    <row r="288" spans="1:19" x14ac:dyDescent="0.25">
      <c r="A288" s="17">
        <v>45944</v>
      </c>
      <c r="B288" s="13">
        <v>12795</v>
      </c>
      <c r="C288" s="13">
        <v>59</v>
      </c>
      <c r="D288" s="79">
        <f t="shared" si="12"/>
        <v>7549.05</v>
      </c>
      <c r="E288" s="13">
        <v>3.3</v>
      </c>
      <c r="F288" s="79">
        <f t="shared" si="13"/>
        <v>422.23500000000001</v>
      </c>
      <c r="G288" s="13">
        <v>2358</v>
      </c>
      <c r="H288" s="13">
        <v>235</v>
      </c>
      <c r="I288" s="41">
        <f t="shared" si="14"/>
        <v>99.660729431721805</v>
      </c>
      <c r="J288" s="13">
        <v>2.7</v>
      </c>
      <c r="K288" s="36">
        <v>26</v>
      </c>
      <c r="L288" s="13">
        <v>0.8</v>
      </c>
      <c r="M288" s="14">
        <v>151</v>
      </c>
      <c r="N288" s="35">
        <v>11</v>
      </c>
      <c r="O288" s="14">
        <v>370</v>
      </c>
      <c r="P288" s="47">
        <v>34</v>
      </c>
      <c r="Q288" s="14">
        <v>249</v>
      </c>
      <c r="R288" s="8">
        <v>9.1999999999999993</v>
      </c>
      <c r="S288" s="13">
        <v>7.44</v>
      </c>
    </row>
    <row r="289" spans="1:19" x14ac:dyDescent="0.25">
      <c r="A289" s="17">
        <v>45945</v>
      </c>
      <c r="B289" s="13">
        <v>12807</v>
      </c>
      <c r="C289" s="13">
        <v>59</v>
      </c>
      <c r="D289" s="79">
        <f t="shared" si="12"/>
        <v>7556.13</v>
      </c>
      <c r="E289" s="13">
        <v>3.5</v>
      </c>
      <c r="F289" s="79">
        <f t="shared" si="13"/>
        <v>448.245</v>
      </c>
      <c r="G289" s="13">
        <v>2362</v>
      </c>
      <c r="H289" s="13">
        <v>258</v>
      </c>
      <c r="I289" s="41">
        <f t="shared" si="14"/>
        <v>109.22946655376799</v>
      </c>
      <c r="J289" s="13">
        <v>3.5</v>
      </c>
      <c r="K289" s="36">
        <v>26</v>
      </c>
      <c r="L289" s="13">
        <v>0.33</v>
      </c>
      <c r="M289" s="14">
        <v>173</v>
      </c>
      <c r="N289" s="35">
        <v>10.9</v>
      </c>
      <c r="O289" s="14">
        <v>380</v>
      </c>
      <c r="P289" s="47">
        <v>33</v>
      </c>
      <c r="Q289" s="14">
        <v>206</v>
      </c>
      <c r="R289" s="8">
        <v>9</v>
      </c>
      <c r="S289" s="13">
        <v>7.53</v>
      </c>
    </row>
    <row r="290" spans="1:19" x14ac:dyDescent="0.25">
      <c r="A290" s="17">
        <v>45946</v>
      </c>
      <c r="B290" s="13">
        <v>12794</v>
      </c>
      <c r="C290" s="13">
        <v>59</v>
      </c>
      <c r="D290" s="79">
        <f t="shared" si="12"/>
        <v>7548.46</v>
      </c>
      <c r="E290" s="13">
        <v>3.5</v>
      </c>
      <c r="F290" s="79">
        <f t="shared" si="13"/>
        <v>447.79</v>
      </c>
      <c r="G290" s="13">
        <v>2384</v>
      </c>
      <c r="H290" s="13">
        <v>254</v>
      </c>
      <c r="I290" s="41">
        <f t="shared" si="14"/>
        <v>106.54362416107382</v>
      </c>
      <c r="J290" s="13">
        <v>2.9</v>
      </c>
      <c r="K290" s="36">
        <v>22</v>
      </c>
      <c r="L290" s="13">
        <v>0.54</v>
      </c>
      <c r="M290" s="14">
        <v>168</v>
      </c>
      <c r="N290" s="35">
        <v>10</v>
      </c>
      <c r="O290" s="14">
        <v>480</v>
      </c>
      <c r="P290" s="47">
        <v>30</v>
      </c>
      <c r="Q290" s="14">
        <v>247</v>
      </c>
      <c r="R290" s="8">
        <v>9.1</v>
      </c>
      <c r="S290" s="13">
        <v>7.5</v>
      </c>
    </row>
    <row r="291" spans="1:19" x14ac:dyDescent="0.25">
      <c r="A291" s="17">
        <v>45947</v>
      </c>
      <c r="B291" s="13">
        <v>12818</v>
      </c>
      <c r="C291" s="13">
        <v>59</v>
      </c>
      <c r="D291" s="79">
        <f t="shared" si="12"/>
        <v>7562.62</v>
      </c>
      <c r="E291" s="13">
        <v>3.5</v>
      </c>
      <c r="F291" s="79">
        <f t="shared" si="13"/>
        <v>448.63</v>
      </c>
      <c r="G291" s="13">
        <v>2353</v>
      </c>
      <c r="H291" s="13">
        <v>238</v>
      </c>
      <c r="I291" s="41">
        <f t="shared" si="14"/>
        <v>101.14747131321717</v>
      </c>
      <c r="J291" s="13">
        <v>3.3</v>
      </c>
      <c r="K291" s="36">
        <v>22</v>
      </c>
      <c r="L291" s="13">
        <v>0.44</v>
      </c>
      <c r="M291" s="14">
        <v>164</v>
      </c>
      <c r="N291" s="35">
        <v>11</v>
      </c>
      <c r="O291" s="14">
        <v>460</v>
      </c>
      <c r="P291" s="47">
        <v>33</v>
      </c>
      <c r="Q291" s="14">
        <v>250</v>
      </c>
      <c r="R291" s="8">
        <v>8</v>
      </c>
      <c r="S291" s="13">
        <v>7.52</v>
      </c>
    </row>
    <row r="292" spans="1:19" x14ac:dyDescent="0.25">
      <c r="A292" s="17">
        <v>45948</v>
      </c>
      <c r="B292" s="13">
        <v>12807</v>
      </c>
      <c r="C292" s="13">
        <v>59</v>
      </c>
      <c r="D292" s="79">
        <f t="shared" si="12"/>
        <v>7556.13</v>
      </c>
      <c r="E292" s="13">
        <v>3.4</v>
      </c>
      <c r="F292" s="79">
        <f t="shared" si="13"/>
        <v>435.43799999999993</v>
      </c>
      <c r="G292" s="13">
        <v>2371</v>
      </c>
      <c r="H292" s="13">
        <v>247</v>
      </c>
      <c r="I292" s="41">
        <f t="shared" si="14"/>
        <v>104.17545339519191</v>
      </c>
      <c r="J292" s="13">
        <v>3.1</v>
      </c>
      <c r="K292" s="36">
        <v>24</v>
      </c>
      <c r="L292" s="13">
        <v>0.27</v>
      </c>
      <c r="M292" s="14">
        <v>184</v>
      </c>
      <c r="N292" s="35">
        <v>13</v>
      </c>
      <c r="O292" s="14">
        <v>400</v>
      </c>
      <c r="P292" s="48">
        <v>36.299999999999997</v>
      </c>
      <c r="Q292" s="14">
        <v>253</v>
      </c>
      <c r="R292" s="8">
        <v>8</v>
      </c>
      <c r="S292" s="13">
        <v>7.47</v>
      </c>
    </row>
    <row r="293" spans="1:19" x14ac:dyDescent="0.25">
      <c r="A293" s="17">
        <v>45949</v>
      </c>
      <c r="B293" s="13">
        <v>13170</v>
      </c>
      <c r="C293" s="13">
        <v>59</v>
      </c>
      <c r="D293" s="79">
        <f t="shared" si="12"/>
        <v>7770.3</v>
      </c>
      <c r="E293" s="13">
        <v>3.4</v>
      </c>
      <c r="F293" s="79">
        <f t="shared" si="13"/>
        <v>447.78</v>
      </c>
      <c r="G293" s="13">
        <v>2358</v>
      </c>
      <c r="H293" s="13">
        <v>222</v>
      </c>
      <c r="I293" s="41">
        <f t="shared" si="14"/>
        <v>94.147582697201017</v>
      </c>
      <c r="J293" s="13">
        <v>3.44</v>
      </c>
      <c r="K293" s="36">
        <v>25</v>
      </c>
      <c r="L293" s="13">
        <v>0.76</v>
      </c>
      <c r="M293" s="14">
        <v>142</v>
      </c>
      <c r="N293" s="35">
        <v>10.4</v>
      </c>
      <c r="O293" s="14">
        <v>432</v>
      </c>
      <c r="P293" s="47">
        <v>33</v>
      </c>
      <c r="Q293" s="14">
        <v>245</v>
      </c>
      <c r="R293" s="8">
        <v>9.8000000000000007</v>
      </c>
      <c r="S293" s="13">
        <v>7.54</v>
      </c>
    </row>
    <row r="294" spans="1:19" x14ac:dyDescent="0.25">
      <c r="A294" s="17">
        <v>45950</v>
      </c>
      <c r="B294" s="13">
        <v>13457</v>
      </c>
      <c r="C294" s="13">
        <v>59</v>
      </c>
      <c r="D294" s="79">
        <f t="shared" si="12"/>
        <v>7939.63</v>
      </c>
      <c r="E294" s="13">
        <v>3.3</v>
      </c>
      <c r="F294" s="79">
        <f t="shared" si="13"/>
        <v>444.08099999999996</v>
      </c>
      <c r="G294" s="13">
        <v>2379</v>
      </c>
      <c r="H294" s="13">
        <v>245</v>
      </c>
      <c r="I294" s="41">
        <f t="shared" si="14"/>
        <v>102.98444724674233</v>
      </c>
      <c r="J294" s="13">
        <v>2.8</v>
      </c>
      <c r="K294" s="36">
        <v>26</v>
      </c>
      <c r="L294" s="13">
        <v>0.67</v>
      </c>
      <c r="M294" s="14">
        <v>174</v>
      </c>
      <c r="N294" s="35">
        <v>13</v>
      </c>
      <c r="O294" s="14">
        <v>380</v>
      </c>
      <c r="P294" s="48">
        <v>38</v>
      </c>
      <c r="Q294" s="14">
        <v>251</v>
      </c>
      <c r="R294" s="8">
        <v>10.6</v>
      </c>
      <c r="S294" s="13">
        <v>7.5</v>
      </c>
    </row>
    <row r="295" spans="1:19" x14ac:dyDescent="0.25">
      <c r="A295" s="17">
        <v>45951</v>
      </c>
      <c r="B295" s="13">
        <v>11420</v>
      </c>
      <c r="C295" s="13">
        <v>59</v>
      </c>
      <c r="D295" s="79">
        <f t="shared" si="12"/>
        <v>6737.8</v>
      </c>
      <c r="E295" s="13">
        <v>3.5</v>
      </c>
      <c r="F295" s="79">
        <f t="shared" si="13"/>
        <v>399.7</v>
      </c>
      <c r="G295" s="13">
        <v>2351</v>
      </c>
      <c r="H295" s="13">
        <v>233</v>
      </c>
      <c r="I295" s="41">
        <f t="shared" si="14"/>
        <v>99.106763079540627</v>
      </c>
      <c r="J295" s="13">
        <v>3.3</v>
      </c>
      <c r="K295" s="36">
        <v>27</v>
      </c>
      <c r="L295" s="13">
        <v>0.63</v>
      </c>
      <c r="M295" s="14">
        <v>183</v>
      </c>
      <c r="N295" s="35">
        <v>12.3</v>
      </c>
      <c r="O295" s="14">
        <v>390</v>
      </c>
      <c r="P295" s="47">
        <v>27</v>
      </c>
      <c r="Q295" s="14">
        <v>248</v>
      </c>
      <c r="R295" s="8">
        <v>9.4</v>
      </c>
      <c r="S295" s="13">
        <v>7.51</v>
      </c>
    </row>
    <row r="296" spans="1:19" x14ac:dyDescent="0.25">
      <c r="A296" s="17">
        <v>45952</v>
      </c>
      <c r="B296" s="13">
        <v>11432</v>
      </c>
      <c r="C296" s="13">
        <v>59</v>
      </c>
      <c r="D296" s="79">
        <f t="shared" si="12"/>
        <v>6744.88</v>
      </c>
      <c r="E296" s="13">
        <v>3.5</v>
      </c>
      <c r="F296" s="79">
        <f t="shared" si="13"/>
        <v>400.12</v>
      </c>
      <c r="G296" s="13">
        <v>2361</v>
      </c>
      <c r="H296" s="13">
        <v>226</v>
      </c>
      <c r="I296" s="41">
        <f t="shared" si="14"/>
        <v>95.722151630664968</v>
      </c>
      <c r="J296" s="13">
        <v>2.95</v>
      </c>
      <c r="K296" s="36">
        <v>22</v>
      </c>
      <c r="L296" s="13">
        <v>0.74</v>
      </c>
      <c r="M296" s="14">
        <v>146</v>
      </c>
      <c r="N296" s="35">
        <v>10.1</v>
      </c>
      <c r="O296" s="14">
        <v>400</v>
      </c>
      <c r="P296" s="48">
        <v>30.5</v>
      </c>
      <c r="Q296" s="14">
        <v>200</v>
      </c>
      <c r="R296" s="8">
        <v>8</v>
      </c>
      <c r="S296" s="13">
        <v>7.47</v>
      </c>
    </row>
    <row r="297" spans="1:19" x14ac:dyDescent="0.25">
      <c r="A297" s="17">
        <v>45953</v>
      </c>
      <c r="B297" s="13">
        <v>11545</v>
      </c>
      <c r="C297" s="13">
        <v>59</v>
      </c>
      <c r="D297" s="79">
        <f t="shared" si="12"/>
        <v>6811.55</v>
      </c>
      <c r="E297" s="13">
        <v>3.5</v>
      </c>
      <c r="F297" s="79">
        <f t="shared" si="13"/>
        <v>404.07499999999999</v>
      </c>
      <c r="G297" s="13">
        <v>2363</v>
      </c>
      <c r="H297" s="13">
        <v>227</v>
      </c>
      <c r="I297" s="41">
        <f t="shared" si="14"/>
        <v>96.064325010579765</v>
      </c>
      <c r="J297" s="13">
        <v>3.4</v>
      </c>
      <c r="K297" s="36">
        <v>22</v>
      </c>
      <c r="L297" s="13">
        <v>0.62</v>
      </c>
      <c r="M297" s="14">
        <v>168</v>
      </c>
      <c r="N297" s="35">
        <v>10</v>
      </c>
      <c r="O297" s="14">
        <v>450</v>
      </c>
      <c r="P297" s="47">
        <v>32</v>
      </c>
      <c r="Q297" s="14">
        <v>246</v>
      </c>
      <c r="R297" s="8">
        <v>8</v>
      </c>
      <c r="S297" s="13">
        <v>7.53</v>
      </c>
    </row>
    <row r="298" spans="1:19" x14ac:dyDescent="0.25">
      <c r="A298" s="17">
        <v>45954</v>
      </c>
      <c r="B298" s="13">
        <v>11557</v>
      </c>
      <c r="C298" s="13">
        <v>57</v>
      </c>
      <c r="D298" s="79">
        <f t="shared" si="12"/>
        <v>6587.49</v>
      </c>
      <c r="E298" s="13">
        <v>3.4</v>
      </c>
      <c r="F298" s="79">
        <f t="shared" si="13"/>
        <v>392.93799999999993</v>
      </c>
      <c r="G298" s="13">
        <v>2385</v>
      </c>
      <c r="H298" s="13">
        <v>250</v>
      </c>
      <c r="I298" s="41">
        <f t="shared" si="14"/>
        <v>104.82180293501048</v>
      </c>
      <c r="J298" s="13">
        <v>3</v>
      </c>
      <c r="K298" s="36">
        <v>26</v>
      </c>
      <c r="L298" s="13">
        <v>0.54</v>
      </c>
      <c r="M298" s="14">
        <v>181</v>
      </c>
      <c r="N298" s="35">
        <v>11.9</v>
      </c>
      <c r="O298" s="14">
        <v>530</v>
      </c>
      <c r="P298" s="47">
        <v>36</v>
      </c>
      <c r="Q298" s="14">
        <v>254</v>
      </c>
      <c r="R298" s="8">
        <v>8</v>
      </c>
      <c r="S298" s="13">
        <v>7.5</v>
      </c>
    </row>
    <row r="299" spans="1:19" x14ac:dyDescent="0.25">
      <c r="A299" s="17">
        <v>45955</v>
      </c>
      <c r="B299" s="13">
        <v>11670</v>
      </c>
      <c r="C299" s="13">
        <v>57</v>
      </c>
      <c r="D299" s="79">
        <f t="shared" si="12"/>
        <v>6651.9</v>
      </c>
      <c r="E299" s="13">
        <v>3.5</v>
      </c>
      <c r="F299" s="79">
        <f t="shared" si="13"/>
        <v>408.45</v>
      </c>
      <c r="G299" s="13">
        <v>2374</v>
      </c>
      <c r="H299" s="13">
        <v>253</v>
      </c>
      <c r="I299" s="41">
        <f t="shared" si="14"/>
        <v>106.57118786857625</v>
      </c>
      <c r="J299" s="13">
        <v>3.52</v>
      </c>
      <c r="K299" s="36">
        <v>22</v>
      </c>
      <c r="L299" s="13">
        <v>0.28000000000000003</v>
      </c>
      <c r="M299" s="14">
        <v>143</v>
      </c>
      <c r="N299" s="35">
        <v>13.5</v>
      </c>
      <c r="O299" s="14">
        <v>540</v>
      </c>
      <c r="P299" s="47">
        <v>37</v>
      </c>
      <c r="Q299" s="14">
        <v>250</v>
      </c>
      <c r="R299" s="8">
        <v>10.3</v>
      </c>
      <c r="S299" s="13">
        <v>7.52</v>
      </c>
    </row>
    <row r="300" spans="1:19" x14ac:dyDescent="0.25">
      <c r="A300" s="17">
        <v>45956</v>
      </c>
      <c r="B300" s="13">
        <v>11693</v>
      </c>
      <c r="C300" s="13">
        <v>57</v>
      </c>
      <c r="D300" s="79">
        <f t="shared" si="12"/>
        <v>6665.01</v>
      </c>
      <c r="E300" s="13">
        <v>3.3</v>
      </c>
      <c r="F300" s="79">
        <f t="shared" si="13"/>
        <v>385.86900000000003</v>
      </c>
      <c r="G300" s="13">
        <v>2361</v>
      </c>
      <c r="H300" s="13">
        <v>251</v>
      </c>
      <c r="I300" s="41">
        <f t="shared" si="14"/>
        <v>106.31088521812791</v>
      </c>
      <c r="J300" s="13">
        <v>2.9</v>
      </c>
      <c r="K300" s="36">
        <v>26</v>
      </c>
      <c r="L300" s="13">
        <v>0.32</v>
      </c>
      <c r="M300" s="14">
        <v>156</v>
      </c>
      <c r="N300" s="35">
        <v>13</v>
      </c>
      <c r="O300" s="14">
        <v>480</v>
      </c>
      <c r="P300" s="47">
        <v>31</v>
      </c>
      <c r="Q300" s="14">
        <v>247</v>
      </c>
      <c r="R300" s="8">
        <v>9.3000000000000007</v>
      </c>
      <c r="S300" s="13">
        <v>7.46</v>
      </c>
    </row>
    <row r="301" spans="1:19" x14ac:dyDescent="0.25">
      <c r="A301" s="17">
        <v>45957</v>
      </c>
      <c r="B301" s="13">
        <v>11391</v>
      </c>
      <c r="C301" s="13">
        <v>57</v>
      </c>
      <c r="D301" s="79">
        <f t="shared" si="12"/>
        <v>6492.87</v>
      </c>
      <c r="E301" s="13">
        <v>3.5</v>
      </c>
      <c r="F301" s="79">
        <f t="shared" si="13"/>
        <v>398.685</v>
      </c>
      <c r="G301" s="13">
        <v>2357</v>
      </c>
      <c r="H301" s="13">
        <v>229</v>
      </c>
      <c r="I301" s="41">
        <f t="shared" si="14"/>
        <v>97.157403478998731</v>
      </c>
      <c r="J301" s="13">
        <v>3.2</v>
      </c>
      <c r="K301" s="36">
        <v>25</v>
      </c>
      <c r="L301" s="13">
        <v>0.83</v>
      </c>
      <c r="M301" s="14">
        <v>169</v>
      </c>
      <c r="N301" s="35">
        <v>11</v>
      </c>
      <c r="O301" s="14">
        <v>500</v>
      </c>
      <c r="P301" s="47">
        <v>34</v>
      </c>
      <c r="Q301" s="14">
        <v>120</v>
      </c>
      <c r="R301" s="8">
        <v>7</v>
      </c>
      <c r="S301" s="13">
        <v>7.54</v>
      </c>
    </row>
    <row r="302" spans="1:19" x14ac:dyDescent="0.25">
      <c r="A302" s="17">
        <v>45958</v>
      </c>
      <c r="B302" s="13">
        <v>11766</v>
      </c>
      <c r="C302" s="13">
        <v>57</v>
      </c>
      <c r="D302" s="79">
        <f t="shared" si="12"/>
        <v>6706.62</v>
      </c>
      <c r="E302" s="13">
        <v>3.6</v>
      </c>
      <c r="F302" s="79">
        <f t="shared" si="13"/>
        <v>423.57599999999996</v>
      </c>
      <c r="G302" s="13">
        <v>2409</v>
      </c>
      <c r="H302" s="13">
        <v>251</v>
      </c>
      <c r="I302" s="41">
        <f t="shared" si="14"/>
        <v>104.19261104192611</v>
      </c>
      <c r="J302" s="13">
        <v>3.1</v>
      </c>
      <c r="K302" s="36">
        <v>22.5</v>
      </c>
      <c r="L302" s="13">
        <v>0.84</v>
      </c>
      <c r="M302" s="14">
        <v>166</v>
      </c>
      <c r="N302" s="35">
        <v>13</v>
      </c>
      <c r="O302" s="14">
        <v>400</v>
      </c>
      <c r="P302" s="47">
        <v>43</v>
      </c>
      <c r="Q302" s="14">
        <v>251</v>
      </c>
      <c r="R302" s="8">
        <v>10</v>
      </c>
      <c r="S302" s="13">
        <v>7.5</v>
      </c>
    </row>
    <row r="303" spans="1:19" x14ac:dyDescent="0.25">
      <c r="A303" s="17">
        <v>45959</v>
      </c>
      <c r="B303" s="13">
        <v>11807</v>
      </c>
      <c r="C303" s="13">
        <v>57</v>
      </c>
      <c r="D303" s="79">
        <f t="shared" si="12"/>
        <v>6729.99</v>
      </c>
      <c r="E303" s="13">
        <v>3.6</v>
      </c>
      <c r="F303" s="79">
        <f t="shared" si="13"/>
        <v>425.05200000000002</v>
      </c>
      <c r="G303" s="13">
        <v>2441</v>
      </c>
      <c r="H303" s="13">
        <v>261</v>
      </c>
      <c r="I303" s="41">
        <f t="shared" si="14"/>
        <v>106.92339205243752</v>
      </c>
      <c r="J303" s="13">
        <v>3.42</v>
      </c>
      <c r="K303" s="36">
        <v>24</v>
      </c>
      <c r="L303" s="13">
        <v>0.61</v>
      </c>
      <c r="M303" s="14">
        <v>150</v>
      </c>
      <c r="N303" s="35">
        <v>15</v>
      </c>
      <c r="O303" s="14">
        <v>480</v>
      </c>
      <c r="P303" s="47">
        <v>36</v>
      </c>
      <c r="Q303" s="14">
        <v>248</v>
      </c>
      <c r="R303" s="8">
        <v>11</v>
      </c>
      <c r="S303" s="13">
        <v>7.51</v>
      </c>
    </row>
    <row r="304" spans="1:19" x14ac:dyDescent="0.25">
      <c r="A304" s="17">
        <v>45960</v>
      </c>
      <c r="B304" s="13">
        <v>10670</v>
      </c>
      <c r="C304" s="13">
        <v>57</v>
      </c>
      <c r="D304" s="79">
        <f t="shared" si="12"/>
        <v>6081.9</v>
      </c>
      <c r="E304" s="13">
        <v>3.4</v>
      </c>
      <c r="F304" s="79">
        <f t="shared" si="13"/>
        <v>362.78</v>
      </c>
      <c r="G304" s="13">
        <v>2414</v>
      </c>
      <c r="H304" s="13">
        <v>238</v>
      </c>
      <c r="I304" s="41">
        <f t="shared" si="14"/>
        <v>98.591549295774641</v>
      </c>
      <c r="J304" s="13">
        <v>3.5</v>
      </c>
      <c r="K304" s="36">
        <v>25</v>
      </c>
      <c r="L304" s="13">
        <v>0.8</v>
      </c>
      <c r="M304" s="14">
        <v>178</v>
      </c>
      <c r="N304" s="35">
        <v>10</v>
      </c>
      <c r="O304" s="14">
        <v>490</v>
      </c>
      <c r="P304" s="48">
        <v>34.299999999999997</v>
      </c>
      <c r="Q304" s="14">
        <v>252</v>
      </c>
      <c r="R304" s="8">
        <v>8</v>
      </c>
      <c r="S304" s="13">
        <v>7.47</v>
      </c>
    </row>
    <row r="305" spans="1:19" x14ac:dyDescent="0.25">
      <c r="A305" s="17">
        <v>45961</v>
      </c>
      <c r="B305" s="13">
        <v>10670</v>
      </c>
      <c r="C305" s="13">
        <v>57</v>
      </c>
      <c r="D305" s="79">
        <f t="shared" si="12"/>
        <v>6081.9</v>
      </c>
      <c r="E305" s="13">
        <v>3.3</v>
      </c>
      <c r="F305" s="79">
        <f t="shared" si="13"/>
        <v>352.11</v>
      </c>
      <c r="G305" s="13">
        <v>2425</v>
      </c>
      <c r="H305" s="13">
        <v>262</v>
      </c>
      <c r="I305" s="41">
        <f t="shared" si="14"/>
        <v>108.04123711340206</v>
      </c>
      <c r="J305" s="13">
        <v>3.1</v>
      </c>
      <c r="K305" s="36">
        <v>25</v>
      </c>
      <c r="L305" s="13">
        <v>0.64</v>
      </c>
      <c r="M305" s="14">
        <v>168</v>
      </c>
      <c r="N305" s="35">
        <v>14</v>
      </c>
      <c r="O305" s="14">
        <v>480</v>
      </c>
      <c r="P305" s="47">
        <v>38</v>
      </c>
      <c r="Q305" s="14">
        <v>246</v>
      </c>
      <c r="R305" s="8">
        <v>9.6999999999999993</v>
      </c>
      <c r="S305" s="13">
        <v>7.8</v>
      </c>
    </row>
    <row r="306" spans="1:19" x14ac:dyDescent="0.25">
      <c r="A306" s="17">
        <v>45962</v>
      </c>
      <c r="B306" s="13">
        <v>10685</v>
      </c>
      <c r="C306" s="13">
        <v>57</v>
      </c>
      <c r="D306" s="79">
        <f t="shared" si="12"/>
        <v>6090.45</v>
      </c>
      <c r="E306" s="13">
        <v>3.5</v>
      </c>
      <c r="F306" s="79">
        <f t="shared" si="13"/>
        <v>373.97500000000002</v>
      </c>
      <c r="G306" s="13">
        <v>2414</v>
      </c>
      <c r="H306" s="13">
        <v>253</v>
      </c>
      <c r="I306" s="41">
        <f t="shared" si="14"/>
        <v>104.80530240265121</v>
      </c>
      <c r="J306" s="13">
        <v>3.45</v>
      </c>
      <c r="K306" s="36">
        <v>18</v>
      </c>
      <c r="L306" s="13">
        <v>0.36</v>
      </c>
      <c r="M306" s="14">
        <v>144</v>
      </c>
      <c r="N306" s="35">
        <v>13</v>
      </c>
      <c r="O306" s="14">
        <v>542</v>
      </c>
      <c r="P306" s="47">
        <v>37</v>
      </c>
      <c r="Q306" s="14">
        <v>250</v>
      </c>
      <c r="R306" s="8">
        <v>11</v>
      </c>
      <c r="S306" s="13">
        <v>7.74</v>
      </c>
    </row>
    <row r="307" spans="1:19" x14ac:dyDescent="0.25">
      <c r="A307" s="17">
        <v>45963</v>
      </c>
      <c r="B307" s="13">
        <v>10920</v>
      </c>
      <c r="C307" s="13">
        <v>57</v>
      </c>
      <c r="D307" s="79">
        <f t="shared" si="12"/>
        <v>6224.4</v>
      </c>
      <c r="E307" s="13">
        <v>3.5</v>
      </c>
      <c r="F307" s="79">
        <f t="shared" si="13"/>
        <v>382.2</v>
      </c>
      <c r="G307" s="13">
        <v>2436</v>
      </c>
      <c r="H307" s="13">
        <v>241</v>
      </c>
      <c r="I307" s="41">
        <f t="shared" si="14"/>
        <v>98.932676518883412</v>
      </c>
      <c r="J307" s="13">
        <v>3.6</v>
      </c>
      <c r="K307" s="36">
        <v>22</v>
      </c>
      <c r="L307" s="13">
        <v>0.35</v>
      </c>
      <c r="M307" s="14">
        <v>135</v>
      </c>
      <c r="N307" s="35">
        <v>9.1999999999999993</v>
      </c>
      <c r="O307" s="14">
        <v>480</v>
      </c>
      <c r="P307" s="47">
        <v>26</v>
      </c>
      <c r="Q307" s="14">
        <v>190</v>
      </c>
      <c r="R307" s="8">
        <v>7</v>
      </c>
      <c r="S307" s="13">
        <v>7.83</v>
      </c>
    </row>
    <row r="308" spans="1:19" x14ac:dyDescent="0.25">
      <c r="A308" s="17">
        <v>45964</v>
      </c>
      <c r="B308" s="13">
        <v>10707</v>
      </c>
      <c r="C308" s="13">
        <v>57</v>
      </c>
      <c r="D308" s="79">
        <f t="shared" si="12"/>
        <v>6102.99</v>
      </c>
      <c r="E308" s="13">
        <v>3.5</v>
      </c>
      <c r="F308" s="79">
        <f t="shared" si="13"/>
        <v>374.745</v>
      </c>
      <c r="G308" s="13">
        <v>2409</v>
      </c>
      <c r="H308" s="13">
        <v>249</v>
      </c>
      <c r="I308" s="41">
        <f t="shared" si="14"/>
        <v>103.36239103362391</v>
      </c>
      <c r="J308" s="13">
        <v>3.2</v>
      </c>
      <c r="K308" s="36">
        <v>23</v>
      </c>
      <c r="L308" s="13">
        <v>0.46</v>
      </c>
      <c r="M308" s="14">
        <v>133</v>
      </c>
      <c r="N308" s="35">
        <v>10</v>
      </c>
      <c r="O308" s="14">
        <v>500</v>
      </c>
      <c r="P308" s="47">
        <v>30</v>
      </c>
      <c r="Q308" s="14">
        <v>249</v>
      </c>
      <c r="R308" s="8">
        <v>8</v>
      </c>
      <c r="S308" s="13">
        <v>7.8</v>
      </c>
    </row>
    <row r="309" spans="1:19" x14ac:dyDescent="0.25">
      <c r="A309" s="17">
        <v>45965</v>
      </c>
      <c r="B309" s="13">
        <v>10670</v>
      </c>
      <c r="C309" s="13">
        <v>57</v>
      </c>
      <c r="D309" s="79">
        <f t="shared" si="12"/>
        <v>6081.9</v>
      </c>
      <c r="E309" s="13">
        <v>3.4</v>
      </c>
      <c r="F309" s="79">
        <f t="shared" si="13"/>
        <v>362.78</v>
      </c>
      <c r="G309" s="13">
        <v>2417</v>
      </c>
      <c r="H309" s="13">
        <v>229</v>
      </c>
      <c r="I309" s="41">
        <f t="shared" si="14"/>
        <v>94.745552337608601</v>
      </c>
      <c r="J309" s="13">
        <v>3.82</v>
      </c>
      <c r="K309" s="36">
        <v>18</v>
      </c>
      <c r="L309" s="13">
        <v>0.84</v>
      </c>
      <c r="M309" s="14">
        <v>143</v>
      </c>
      <c r="N309" s="35">
        <v>9.5</v>
      </c>
      <c r="O309" s="14">
        <v>470</v>
      </c>
      <c r="P309" s="47">
        <v>35</v>
      </c>
      <c r="Q309" s="14">
        <v>251</v>
      </c>
      <c r="R309" s="8">
        <v>9</v>
      </c>
      <c r="S309" s="13">
        <v>7.82</v>
      </c>
    </row>
    <row r="310" spans="1:19" x14ac:dyDescent="0.25">
      <c r="A310" s="17">
        <v>45966</v>
      </c>
      <c r="B310" s="13">
        <v>10168</v>
      </c>
      <c r="C310" s="13">
        <v>57</v>
      </c>
      <c r="D310" s="79">
        <f t="shared" si="12"/>
        <v>5795.76</v>
      </c>
      <c r="E310" s="13">
        <v>3.4</v>
      </c>
      <c r="F310" s="79">
        <f t="shared" si="13"/>
        <v>345.71199999999999</v>
      </c>
      <c r="G310" s="13">
        <v>2433</v>
      </c>
      <c r="H310" s="13">
        <v>253</v>
      </c>
      <c r="I310" s="41">
        <f t="shared" si="14"/>
        <v>103.986847513358</v>
      </c>
      <c r="J310" s="13">
        <v>3.4</v>
      </c>
      <c r="K310" s="36">
        <v>18</v>
      </c>
      <c r="L310" s="13">
        <v>0.77</v>
      </c>
      <c r="M310" s="14">
        <v>146</v>
      </c>
      <c r="N310" s="35">
        <v>13.4</v>
      </c>
      <c r="O310" s="14">
        <v>540</v>
      </c>
      <c r="P310" s="47">
        <v>40</v>
      </c>
      <c r="Q310" s="14">
        <v>247</v>
      </c>
      <c r="R310" s="8">
        <v>9.1999999999999993</v>
      </c>
      <c r="S310" s="13">
        <v>7.77</v>
      </c>
    </row>
    <row r="311" spans="1:19" x14ac:dyDescent="0.25">
      <c r="A311" s="17">
        <v>45967</v>
      </c>
      <c r="B311" s="13">
        <v>10682</v>
      </c>
      <c r="C311" s="13">
        <v>57</v>
      </c>
      <c r="D311" s="79">
        <f t="shared" si="12"/>
        <v>6088.74</v>
      </c>
      <c r="E311" s="13">
        <v>3.6</v>
      </c>
      <c r="F311" s="79">
        <f t="shared" si="13"/>
        <v>384.55200000000002</v>
      </c>
      <c r="G311" s="13">
        <v>2416</v>
      </c>
      <c r="H311" s="13">
        <v>256</v>
      </c>
      <c r="I311" s="41">
        <f t="shared" si="14"/>
        <v>105.96026490066225</v>
      </c>
      <c r="J311" s="13">
        <v>3.1</v>
      </c>
      <c r="K311" s="36">
        <v>18</v>
      </c>
      <c r="L311" s="13">
        <v>0.81</v>
      </c>
      <c r="M311" s="14">
        <v>185</v>
      </c>
      <c r="N311" s="35">
        <v>15</v>
      </c>
      <c r="O311" s="14">
        <v>500</v>
      </c>
      <c r="P311" s="47">
        <v>47</v>
      </c>
      <c r="Q311" s="14">
        <v>253</v>
      </c>
      <c r="R311" s="8">
        <v>11</v>
      </c>
      <c r="S311" s="13">
        <v>7.84</v>
      </c>
    </row>
    <row r="312" spans="1:19" x14ac:dyDescent="0.25">
      <c r="A312" s="17">
        <v>45968</v>
      </c>
      <c r="B312" s="13">
        <v>10670</v>
      </c>
      <c r="C312" s="13">
        <v>57</v>
      </c>
      <c r="D312" s="79">
        <f t="shared" si="12"/>
        <v>6081.9</v>
      </c>
      <c r="E312" s="13">
        <v>3.5</v>
      </c>
      <c r="F312" s="79">
        <f t="shared" si="13"/>
        <v>373.45</v>
      </c>
      <c r="G312" s="13">
        <v>2421</v>
      </c>
      <c r="H312" s="13">
        <v>237</v>
      </c>
      <c r="I312" s="41">
        <f t="shared" si="14"/>
        <v>97.893432465923169</v>
      </c>
      <c r="J312" s="13">
        <v>3.9</v>
      </c>
      <c r="K312" s="36">
        <v>21</v>
      </c>
      <c r="L312" s="13">
        <v>0.84</v>
      </c>
      <c r="M312" s="14">
        <v>141</v>
      </c>
      <c r="N312" s="35">
        <v>8.5</v>
      </c>
      <c r="O312" s="14">
        <v>500</v>
      </c>
      <c r="P312" s="48">
        <v>32.4</v>
      </c>
      <c r="Q312" s="14">
        <v>248</v>
      </c>
      <c r="R312" s="8">
        <v>7.4</v>
      </c>
      <c r="S312" s="13">
        <v>7.8</v>
      </c>
    </row>
    <row r="313" spans="1:19" x14ac:dyDescent="0.25">
      <c r="A313" s="17">
        <v>45969</v>
      </c>
      <c r="B313" s="13">
        <v>10669</v>
      </c>
      <c r="C313" s="13">
        <v>57</v>
      </c>
      <c r="D313" s="79">
        <f t="shared" si="12"/>
        <v>6081.33</v>
      </c>
      <c r="E313" s="13">
        <v>3.5</v>
      </c>
      <c r="F313" s="79">
        <f t="shared" si="13"/>
        <v>373.41500000000002</v>
      </c>
      <c r="G313" s="13">
        <v>2422</v>
      </c>
      <c r="H313" s="13">
        <v>232</v>
      </c>
      <c r="I313" s="41">
        <f t="shared" si="14"/>
        <v>95.788604459124684</v>
      </c>
      <c r="J313" s="13">
        <v>3.3</v>
      </c>
      <c r="K313" s="36">
        <v>22</v>
      </c>
      <c r="L313" s="13">
        <v>0.4</v>
      </c>
      <c r="M313" s="14">
        <v>139</v>
      </c>
      <c r="N313" s="35">
        <v>9</v>
      </c>
      <c r="O313" s="14">
        <v>322</v>
      </c>
      <c r="P313" s="48">
        <v>31</v>
      </c>
      <c r="Q313" s="14">
        <v>130</v>
      </c>
      <c r="R313" s="8">
        <v>7</v>
      </c>
      <c r="S313" s="13">
        <v>7.81</v>
      </c>
    </row>
    <row r="314" spans="1:19" x14ac:dyDescent="0.25">
      <c r="A314" s="17">
        <v>45970</v>
      </c>
      <c r="B314" s="13">
        <v>10672</v>
      </c>
      <c r="C314" s="13">
        <v>57</v>
      </c>
      <c r="D314" s="79">
        <f t="shared" si="12"/>
        <v>6083.04</v>
      </c>
      <c r="E314" s="13">
        <v>3.4</v>
      </c>
      <c r="F314" s="79">
        <f t="shared" si="13"/>
        <v>362.84799999999996</v>
      </c>
      <c r="G314" s="13">
        <v>2412</v>
      </c>
      <c r="H314" s="13">
        <v>249</v>
      </c>
      <c r="I314" s="41">
        <f t="shared" si="14"/>
        <v>103.23383084577114</v>
      </c>
      <c r="J314" s="13">
        <v>3.6</v>
      </c>
      <c r="K314" s="36">
        <v>23</v>
      </c>
      <c r="L314" s="13">
        <v>0.43</v>
      </c>
      <c r="M314" s="14">
        <v>146</v>
      </c>
      <c r="N314" s="35">
        <v>12</v>
      </c>
      <c r="O314" s="14">
        <v>579</v>
      </c>
      <c r="P314" s="48">
        <v>41.4</v>
      </c>
      <c r="Q314" s="14">
        <v>246</v>
      </c>
      <c r="R314" s="8">
        <v>9</v>
      </c>
      <c r="S314" s="13">
        <v>7.77</v>
      </c>
    </row>
    <row r="315" spans="1:19" x14ac:dyDescent="0.25">
      <c r="A315" s="17">
        <v>45971</v>
      </c>
      <c r="B315" s="13">
        <v>11142</v>
      </c>
      <c r="C315" s="13">
        <v>57</v>
      </c>
      <c r="D315" s="79">
        <f t="shared" si="12"/>
        <v>6350.94</v>
      </c>
      <c r="E315" s="13">
        <v>3.4</v>
      </c>
      <c r="F315" s="79">
        <f t="shared" si="13"/>
        <v>378.82799999999997</v>
      </c>
      <c r="G315" s="13">
        <v>2415</v>
      </c>
      <c r="H315" s="13">
        <v>245</v>
      </c>
      <c r="I315" s="41">
        <f t="shared" si="14"/>
        <v>101.44927536231884</v>
      </c>
      <c r="J315" s="13">
        <v>3.4</v>
      </c>
      <c r="K315" s="36">
        <v>23</v>
      </c>
      <c r="L315" s="13">
        <v>0.33</v>
      </c>
      <c r="M315" s="14">
        <v>138</v>
      </c>
      <c r="N315" s="35">
        <v>10.4</v>
      </c>
      <c r="O315" s="14">
        <v>470</v>
      </c>
      <c r="P315" s="48">
        <v>33.6</v>
      </c>
      <c r="Q315" s="14">
        <v>251</v>
      </c>
      <c r="R315" s="8">
        <v>7</v>
      </c>
      <c r="S315" s="13">
        <v>7.83</v>
      </c>
    </row>
    <row r="316" spans="1:19" x14ac:dyDescent="0.25">
      <c r="A316" s="17">
        <v>45972</v>
      </c>
      <c r="B316" s="13">
        <v>10168</v>
      </c>
      <c r="C316" s="13">
        <v>57</v>
      </c>
      <c r="D316" s="79">
        <f t="shared" si="12"/>
        <v>5795.76</v>
      </c>
      <c r="E316" s="13">
        <v>3.6</v>
      </c>
      <c r="F316" s="79">
        <f t="shared" si="13"/>
        <v>366.048</v>
      </c>
      <c r="G316" s="13">
        <v>2441</v>
      </c>
      <c r="H316" s="13">
        <v>259</v>
      </c>
      <c r="I316" s="41">
        <f t="shared" si="14"/>
        <v>106.10405571487095</v>
      </c>
      <c r="J316" s="13">
        <v>3.84</v>
      </c>
      <c r="K316" s="36">
        <v>19</v>
      </c>
      <c r="L316" s="13">
        <v>0.76</v>
      </c>
      <c r="M316" s="14">
        <v>185</v>
      </c>
      <c r="N316" s="35">
        <v>16</v>
      </c>
      <c r="O316" s="14">
        <v>440</v>
      </c>
      <c r="P316" s="47">
        <v>44</v>
      </c>
      <c r="Q316" s="14">
        <v>249</v>
      </c>
      <c r="R316" s="8">
        <v>11</v>
      </c>
      <c r="S316" s="13">
        <v>7.8</v>
      </c>
    </row>
    <row r="317" spans="1:19" x14ac:dyDescent="0.25">
      <c r="A317" s="17">
        <v>45973</v>
      </c>
      <c r="B317" s="13">
        <v>10682</v>
      </c>
      <c r="C317" s="13">
        <v>60</v>
      </c>
      <c r="D317" s="79">
        <f t="shared" si="12"/>
        <v>6409.2</v>
      </c>
      <c r="E317" s="13">
        <v>3.3</v>
      </c>
      <c r="F317" s="79">
        <f t="shared" si="13"/>
        <v>352.50599999999997</v>
      </c>
      <c r="G317" s="13">
        <v>2434</v>
      </c>
      <c r="H317" s="13">
        <v>254</v>
      </c>
      <c r="I317" s="41">
        <f t="shared" si="14"/>
        <v>104.35497124075596</v>
      </c>
      <c r="J317" s="13">
        <v>3.1</v>
      </c>
      <c r="K317" s="36">
        <v>20</v>
      </c>
      <c r="L317" s="13">
        <v>0.83</v>
      </c>
      <c r="M317" s="14">
        <v>177</v>
      </c>
      <c r="N317" s="35">
        <v>15</v>
      </c>
      <c r="O317" s="14">
        <v>400</v>
      </c>
      <c r="P317" s="47">
        <v>40</v>
      </c>
      <c r="Q317" s="14">
        <v>254</v>
      </c>
      <c r="R317" s="8">
        <v>10</v>
      </c>
      <c r="S317" s="13">
        <v>7.82</v>
      </c>
    </row>
    <row r="318" spans="1:19" x14ac:dyDescent="0.25">
      <c r="A318" s="17">
        <v>45974</v>
      </c>
      <c r="B318" s="13">
        <v>10641</v>
      </c>
      <c r="C318" s="13">
        <v>60</v>
      </c>
      <c r="D318" s="79">
        <f t="shared" si="12"/>
        <v>6384.6</v>
      </c>
      <c r="E318" s="13">
        <v>3.5</v>
      </c>
      <c r="F318" s="79">
        <f t="shared" si="13"/>
        <v>372.435</v>
      </c>
      <c r="G318" s="13">
        <v>2442</v>
      </c>
      <c r="H318" s="13">
        <v>251</v>
      </c>
      <c r="I318" s="41">
        <f t="shared" si="14"/>
        <v>102.78460278460278</v>
      </c>
      <c r="J318" s="13">
        <v>3.7</v>
      </c>
      <c r="K318" s="36">
        <v>21</v>
      </c>
      <c r="L318" s="13">
        <v>0.53</v>
      </c>
      <c r="M318" s="14">
        <v>139</v>
      </c>
      <c r="N318" s="35">
        <v>8.5</v>
      </c>
      <c r="O318" s="14">
        <v>389</v>
      </c>
      <c r="P318" s="47">
        <v>28</v>
      </c>
      <c r="Q318" s="14">
        <v>247</v>
      </c>
      <c r="R318" s="8">
        <v>6.6</v>
      </c>
      <c r="S318" s="13">
        <v>7.76</v>
      </c>
    </row>
    <row r="319" spans="1:19" x14ac:dyDescent="0.25">
      <c r="A319" s="17">
        <v>45975</v>
      </c>
      <c r="B319" s="13">
        <v>10532</v>
      </c>
      <c r="C319" s="13">
        <v>60</v>
      </c>
      <c r="D319" s="79">
        <f t="shared" si="12"/>
        <v>6319.2</v>
      </c>
      <c r="E319" s="13">
        <v>3.6</v>
      </c>
      <c r="F319" s="79">
        <f t="shared" si="13"/>
        <v>379.15200000000004</v>
      </c>
      <c r="G319" s="13">
        <v>2435</v>
      </c>
      <c r="H319" s="13">
        <v>245</v>
      </c>
      <c r="I319" s="41">
        <f t="shared" si="14"/>
        <v>100.61601642710473</v>
      </c>
      <c r="J319" s="13">
        <v>3.45</v>
      </c>
      <c r="K319" s="36">
        <v>23</v>
      </c>
      <c r="L319" s="13">
        <v>0.66</v>
      </c>
      <c r="M319" s="14">
        <v>134</v>
      </c>
      <c r="N319" s="35">
        <v>8.6</v>
      </c>
      <c r="O319" s="14">
        <v>370</v>
      </c>
      <c r="P319" s="48">
        <v>25.9</v>
      </c>
      <c r="Q319" s="14">
        <v>250</v>
      </c>
      <c r="R319" s="8">
        <v>7</v>
      </c>
      <c r="S319" s="13">
        <v>7.84</v>
      </c>
    </row>
    <row r="320" spans="1:19" x14ac:dyDescent="0.25">
      <c r="A320" s="17">
        <v>45976</v>
      </c>
      <c r="B320" s="13">
        <v>10407</v>
      </c>
      <c r="C320" s="13">
        <v>60</v>
      </c>
      <c r="D320" s="79">
        <f t="shared" si="12"/>
        <v>6244.2</v>
      </c>
      <c r="E320" s="13">
        <v>3.6</v>
      </c>
      <c r="F320" s="79">
        <f t="shared" si="13"/>
        <v>374.65200000000004</v>
      </c>
      <c r="G320" s="13">
        <v>2407</v>
      </c>
      <c r="H320" s="13">
        <v>256</v>
      </c>
      <c r="I320" s="41">
        <f t="shared" si="14"/>
        <v>106.35646032405484</v>
      </c>
      <c r="J320" s="13">
        <v>3.9</v>
      </c>
      <c r="K320" s="36">
        <v>22</v>
      </c>
      <c r="L320" s="13">
        <v>0.37</v>
      </c>
      <c r="M320" s="14">
        <v>157</v>
      </c>
      <c r="N320" s="35">
        <v>9.5</v>
      </c>
      <c r="O320" s="14">
        <v>382</v>
      </c>
      <c r="P320" s="48">
        <v>34</v>
      </c>
      <c r="Q320" s="14">
        <v>253</v>
      </c>
      <c r="R320" s="8">
        <v>8</v>
      </c>
      <c r="S320" s="13">
        <v>7.8</v>
      </c>
    </row>
    <row r="321" spans="1:19" x14ac:dyDescent="0.25">
      <c r="A321" s="17">
        <v>45977</v>
      </c>
      <c r="B321" s="13">
        <v>10670</v>
      </c>
      <c r="C321" s="13">
        <v>60</v>
      </c>
      <c r="D321" s="79">
        <f t="shared" si="12"/>
        <v>6402</v>
      </c>
      <c r="E321" s="13">
        <v>3.4</v>
      </c>
      <c r="F321" s="79">
        <f t="shared" si="13"/>
        <v>362.78</v>
      </c>
      <c r="G321" s="13">
        <v>2437</v>
      </c>
      <c r="H321" s="13">
        <v>268</v>
      </c>
      <c r="I321" s="41">
        <f t="shared" si="14"/>
        <v>109.97127615921215</v>
      </c>
      <c r="J321" s="13">
        <v>3.1</v>
      </c>
      <c r="K321" s="36">
        <v>18</v>
      </c>
      <c r="L321" s="13">
        <v>0.86</v>
      </c>
      <c r="M321" s="14">
        <v>175</v>
      </c>
      <c r="N321" s="35">
        <v>15</v>
      </c>
      <c r="O321" s="14">
        <v>400</v>
      </c>
      <c r="P321" s="47">
        <v>37</v>
      </c>
      <c r="Q321" s="14">
        <v>245</v>
      </c>
      <c r="R321" s="8">
        <v>12.2</v>
      </c>
      <c r="S321" s="13">
        <v>7.81</v>
      </c>
    </row>
    <row r="322" spans="1:19" x14ac:dyDescent="0.25">
      <c r="A322" s="17">
        <v>45978</v>
      </c>
      <c r="B322" s="13">
        <v>10182</v>
      </c>
      <c r="C322" s="13">
        <v>60</v>
      </c>
      <c r="D322" s="79">
        <f t="shared" ref="D322:D366" si="15">(C322*B322)/100</f>
        <v>6109.2</v>
      </c>
      <c r="E322" s="13">
        <v>3.3</v>
      </c>
      <c r="F322" s="79">
        <f t="shared" ref="F322:F366" si="16">(E322*B322)/100</f>
        <v>336.00599999999997</v>
      </c>
      <c r="G322" s="13">
        <v>2429</v>
      </c>
      <c r="H322" s="13">
        <v>236</v>
      </c>
      <c r="I322" s="41">
        <f t="shared" si="14"/>
        <v>97.159324825030879</v>
      </c>
      <c r="J322" s="13">
        <v>3.7</v>
      </c>
      <c r="K322" s="36">
        <v>20</v>
      </c>
      <c r="L322" s="13">
        <v>0.81</v>
      </c>
      <c r="M322" s="14">
        <v>127</v>
      </c>
      <c r="N322" s="35">
        <v>7.8</v>
      </c>
      <c r="O322" s="14">
        <v>396</v>
      </c>
      <c r="P322" s="48">
        <v>29.6</v>
      </c>
      <c r="Q322" s="14">
        <v>251</v>
      </c>
      <c r="R322" s="8">
        <v>6.6</v>
      </c>
      <c r="S322" s="13">
        <v>7.77</v>
      </c>
    </row>
    <row r="323" spans="1:19" x14ac:dyDescent="0.25">
      <c r="A323" s="17">
        <v>45979</v>
      </c>
      <c r="B323" s="13">
        <v>10268</v>
      </c>
      <c r="C323" s="13">
        <v>60</v>
      </c>
      <c r="D323" s="79">
        <f t="shared" si="15"/>
        <v>6160.8</v>
      </c>
      <c r="E323" s="13">
        <v>3.5</v>
      </c>
      <c r="F323" s="79">
        <f t="shared" si="16"/>
        <v>359.38</v>
      </c>
      <c r="G323" s="13">
        <v>2437</v>
      </c>
      <c r="H323" s="13">
        <v>238</v>
      </c>
      <c r="I323" s="41">
        <f t="shared" ref="I323:I366" si="17">(H323*1000)/G323</f>
        <v>97.661058678703327</v>
      </c>
      <c r="J323" s="13">
        <v>3.42</v>
      </c>
      <c r="K323" s="36">
        <v>20</v>
      </c>
      <c r="L323" s="13">
        <v>0.89</v>
      </c>
      <c r="M323" s="14">
        <v>154</v>
      </c>
      <c r="N323" s="35">
        <v>8</v>
      </c>
      <c r="O323" s="14">
        <v>399</v>
      </c>
      <c r="P323" s="47">
        <v>26</v>
      </c>
      <c r="Q323" s="14">
        <v>248</v>
      </c>
      <c r="R323" s="8">
        <v>7.4</v>
      </c>
      <c r="S323" s="13">
        <v>7.9</v>
      </c>
    </row>
    <row r="324" spans="1:19" x14ac:dyDescent="0.25">
      <c r="A324" s="17">
        <v>45980</v>
      </c>
      <c r="B324" s="13">
        <v>10157</v>
      </c>
      <c r="C324" s="13">
        <v>60</v>
      </c>
      <c r="D324" s="79">
        <f t="shared" si="15"/>
        <v>6094.2</v>
      </c>
      <c r="E324" s="13">
        <v>3.5</v>
      </c>
      <c r="F324" s="79">
        <f t="shared" si="16"/>
        <v>355.495</v>
      </c>
      <c r="G324" s="13">
        <v>2445</v>
      </c>
      <c r="H324" s="13">
        <v>230</v>
      </c>
      <c r="I324" s="41">
        <f t="shared" si="17"/>
        <v>94.069529652351733</v>
      </c>
      <c r="J324" s="13">
        <v>3.6</v>
      </c>
      <c r="K324" s="36">
        <v>21</v>
      </c>
      <c r="L324" s="13">
        <v>0.78</v>
      </c>
      <c r="M324" s="14">
        <v>151</v>
      </c>
      <c r="N324" s="35">
        <v>8.4</v>
      </c>
      <c r="O324" s="14">
        <v>390</v>
      </c>
      <c r="P324" s="48">
        <v>32.200000000000003</v>
      </c>
      <c r="Q324" s="14">
        <v>252</v>
      </c>
      <c r="R324" s="8">
        <v>7.8</v>
      </c>
      <c r="S324" s="13">
        <v>7.85</v>
      </c>
    </row>
    <row r="325" spans="1:19" x14ac:dyDescent="0.25">
      <c r="A325" s="17">
        <v>45981</v>
      </c>
      <c r="B325" s="13">
        <v>10170</v>
      </c>
      <c r="C325" s="13">
        <v>60</v>
      </c>
      <c r="D325" s="79">
        <f t="shared" si="15"/>
        <v>6102</v>
      </c>
      <c r="E325" s="13">
        <v>3.5</v>
      </c>
      <c r="F325" s="79">
        <f t="shared" si="16"/>
        <v>355.95</v>
      </c>
      <c r="G325" s="13">
        <v>2425</v>
      </c>
      <c r="H325" s="13">
        <v>250</v>
      </c>
      <c r="I325" s="41">
        <f t="shared" si="17"/>
        <v>103.09278350515464</v>
      </c>
      <c r="J325" s="13">
        <v>3.4</v>
      </c>
      <c r="K325" s="36">
        <v>18</v>
      </c>
      <c r="L325" s="13">
        <v>0.83</v>
      </c>
      <c r="M325" s="14">
        <v>163</v>
      </c>
      <c r="N325" s="35">
        <v>9</v>
      </c>
      <c r="O325" s="14">
        <v>375</v>
      </c>
      <c r="P325" s="48">
        <v>31.9</v>
      </c>
      <c r="Q325" s="14">
        <v>246</v>
      </c>
      <c r="R325" s="8">
        <v>7</v>
      </c>
      <c r="S325" s="13">
        <v>7.94</v>
      </c>
    </row>
    <row r="326" spans="1:19" x14ac:dyDescent="0.25">
      <c r="A326" s="17">
        <v>45982</v>
      </c>
      <c r="B326" s="13">
        <v>10031</v>
      </c>
      <c r="C326" s="13">
        <v>60</v>
      </c>
      <c r="D326" s="79">
        <f t="shared" si="15"/>
        <v>6018.6</v>
      </c>
      <c r="E326" s="13">
        <v>3.4</v>
      </c>
      <c r="F326" s="79">
        <f t="shared" si="16"/>
        <v>341.05400000000003</v>
      </c>
      <c r="G326" s="13">
        <v>2420</v>
      </c>
      <c r="H326" s="13">
        <v>260</v>
      </c>
      <c r="I326" s="41">
        <f t="shared" si="17"/>
        <v>107.43801652892562</v>
      </c>
      <c r="J326" s="13">
        <v>3.55</v>
      </c>
      <c r="K326" s="36">
        <v>22</v>
      </c>
      <c r="L326" s="13">
        <v>1</v>
      </c>
      <c r="M326" s="14">
        <v>190</v>
      </c>
      <c r="N326" s="35">
        <v>14.5</v>
      </c>
      <c r="O326" s="14">
        <v>444</v>
      </c>
      <c r="P326" s="47">
        <v>43</v>
      </c>
      <c r="Q326" s="14">
        <v>254</v>
      </c>
      <c r="R326" s="8">
        <v>10</v>
      </c>
      <c r="S326" s="13">
        <v>7.9</v>
      </c>
    </row>
    <row r="327" spans="1:19" x14ac:dyDescent="0.25">
      <c r="A327" s="17">
        <v>45983</v>
      </c>
      <c r="B327" s="13">
        <v>12670</v>
      </c>
      <c r="C327" s="13">
        <v>60</v>
      </c>
      <c r="D327" s="79">
        <f t="shared" si="15"/>
        <v>7602</v>
      </c>
      <c r="E327" s="13">
        <v>3.4</v>
      </c>
      <c r="F327" s="79">
        <f t="shared" si="16"/>
        <v>430.78</v>
      </c>
      <c r="G327" s="13">
        <v>2413</v>
      </c>
      <c r="H327" s="13">
        <v>260</v>
      </c>
      <c r="I327" s="41">
        <f t="shared" si="17"/>
        <v>107.7496891835889</v>
      </c>
      <c r="J327" s="13">
        <v>3.5</v>
      </c>
      <c r="K327" s="36">
        <v>23</v>
      </c>
      <c r="L327" s="13">
        <v>0.73</v>
      </c>
      <c r="M327" s="14">
        <v>153</v>
      </c>
      <c r="N327" s="35">
        <v>14.7</v>
      </c>
      <c r="O327" s="14">
        <v>395</v>
      </c>
      <c r="P327" s="47">
        <v>43</v>
      </c>
      <c r="Q327" s="14">
        <v>250</v>
      </c>
      <c r="R327" s="8">
        <v>10</v>
      </c>
      <c r="S327" s="13">
        <v>7.92</v>
      </c>
    </row>
    <row r="328" spans="1:19" x14ac:dyDescent="0.25">
      <c r="A328" s="17">
        <v>45984</v>
      </c>
      <c r="B328" s="13">
        <v>9794</v>
      </c>
      <c r="C328" s="13">
        <v>60</v>
      </c>
      <c r="D328" s="79">
        <f t="shared" si="15"/>
        <v>5876.4</v>
      </c>
      <c r="E328" s="13">
        <v>3.5</v>
      </c>
      <c r="F328" s="79">
        <f t="shared" si="16"/>
        <v>342.79</v>
      </c>
      <c r="G328" s="13">
        <v>2433</v>
      </c>
      <c r="H328" s="13">
        <v>246</v>
      </c>
      <c r="I328" s="41">
        <f t="shared" si="17"/>
        <v>101.10974106041924</v>
      </c>
      <c r="J328" s="13">
        <v>3.1</v>
      </c>
      <c r="K328" s="36">
        <v>21</v>
      </c>
      <c r="L328" s="13">
        <v>0.48</v>
      </c>
      <c r="M328" s="14">
        <v>156</v>
      </c>
      <c r="N328" s="35">
        <v>12</v>
      </c>
      <c r="O328" s="14">
        <v>385</v>
      </c>
      <c r="P328" s="48">
        <v>29.6</v>
      </c>
      <c r="Q328" s="14">
        <v>247</v>
      </c>
      <c r="R328" s="8">
        <v>8</v>
      </c>
      <c r="S328" s="13">
        <v>7.87</v>
      </c>
    </row>
    <row r="329" spans="1:19" x14ac:dyDescent="0.25">
      <c r="A329" s="17">
        <v>45985</v>
      </c>
      <c r="B329" s="13">
        <v>10044</v>
      </c>
      <c r="C329" s="13">
        <v>60</v>
      </c>
      <c r="D329" s="79">
        <f t="shared" si="15"/>
        <v>6026.4</v>
      </c>
      <c r="E329" s="13">
        <v>3.4</v>
      </c>
      <c r="F329" s="79">
        <f t="shared" si="16"/>
        <v>341.49599999999998</v>
      </c>
      <c r="G329" s="13">
        <v>2422</v>
      </c>
      <c r="H329" s="13">
        <v>242</v>
      </c>
      <c r="I329" s="41">
        <f t="shared" si="17"/>
        <v>99.917423616845582</v>
      </c>
      <c r="J329" s="13">
        <v>3.72</v>
      </c>
      <c r="K329" s="36">
        <v>20</v>
      </c>
      <c r="L329" s="13">
        <v>0.86</v>
      </c>
      <c r="M329" s="14">
        <v>138</v>
      </c>
      <c r="N329" s="35">
        <v>8.4</v>
      </c>
      <c r="O329" s="14">
        <v>393</v>
      </c>
      <c r="P329" s="48">
        <v>27.7</v>
      </c>
      <c r="Q329" s="14">
        <v>253</v>
      </c>
      <c r="R329" s="8">
        <v>7</v>
      </c>
      <c r="S329" s="13">
        <v>7.95</v>
      </c>
    </row>
    <row r="330" spans="1:19" x14ac:dyDescent="0.25">
      <c r="A330" s="17">
        <v>45986</v>
      </c>
      <c r="B330" s="13">
        <v>10105</v>
      </c>
      <c r="C330" s="13">
        <v>60</v>
      </c>
      <c r="D330" s="79">
        <f t="shared" si="15"/>
        <v>6063</v>
      </c>
      <c r="E330" s="13">
        <v>3.4</v>
      </c>
      <c r="F330" s="79">
        <f t="shared" si="16"/>
        <v>343.57</v>
      </c>
      <c r="G330" s="13">
        <v>2420</v>
      </c>
      <c r="H330" s="13">
        <v>255</v>
      </c>
      <c r="I330" s="41">
        <f t="shared" si="17"/>
        <v>105.37190082644628</v>
      </c>
      <c r="J330" s="13">
        <v>3.3</v>
      </c>
      <c r="K330" s="36">
        <v>18</v>
      </c>
      <c r="L330" s="13">
        <v>0.78</v>
      </c>
      <c r="M330" s="14">
        <v>155</v>
      </c>
      <c r="N330" s="35">
        <v>12</v>
      </c>
      <c r="O330" s="14">
        <v>392</v>
      </c>
      <c r="P330" s="47">
        <v>31</v>
      </c>
      <c r="Q330" s="14">
        <v>251</v>
      </c>
      <c r="R330" s="8">
        <v>9</v>
      </c>
      <c r="S330" s="13">
        <v>7.9</v>
      </c>
    </row>
    <row r="331" spans="1:19" x14ac:dyDescent="0.25">
      <c r="A331" s="17">
        <v>45987</v>
      </c>
      <c r="B331" s="13">
        <v>10152</v>
      </c>
      <c r="C331" s="13">
        <v>60</v>
      </c>
      <c r="D331" s="79">
        <f t="shared" si="15"/>
        <v>6091.2</v>
      </c>
      <c r="E331" s="13">
        <v>3.6</v>
      </c>
      <c r="F331" s="79">
        <f t="shared" si="16"/>
        <v>365.47200000000004</v>
      </c>
      <c r="G331" s="13">
        <v>2427</v>
      </c>
      <c r="H331" s="13">
        <v>235</v>
      </c>
      <c r="I331" s="41">
        <f t="shared" si="17"/>
        <v>96.827358879274826</v>
      </c>
      <c r="J331" s="13">
        <v>3</v>
      </c>
      <c r="K331" s="36">
        <v>18</v>
      </c>
      <c r="L331" s="13">
        <v>0.81</v>
      </c>
      <c r="M331" s="14">
        <v>142</v>
      </c>
      <c r="N331" s="35">
        <v>7.6</v>
      </c>
      <c r="O331" s="14">
        <v>500</v>
      </c>
      <c r="P331" s="47">
        <v>25</v>
      </c>
      <c r="Q331" s="14">
        <v>248</v>
      </c>
      <c r="R331" s="8">
        <v>6</v>
      </c>
      <c r="S331" s="13">
        <v>7.91</v>
      </c>
    </row>
    <row r="332" spans="1:19" x14ac:dyDescent="0.25">
      <c r="A332" s="17">
        <v>45988</v>
      </c>
      <c r="B332" s="13">
        <v>10154</v>
      </c>
      <c r="C332" s="13">
        <v>60</v>
      </c>
      <c r="D332" s="79">
        <f t="shared" si="15"/>
        <v>6092.4</v>
      </c>
      <c r="E332" s="13">
        <v>3.3</v>
      </c>
      <c r="F332" s="79">
        <f t="shared" si="16"/>
        <v>335.08199999999999</v>
      </c>
      <c r="G332" s="13">
        <v>2397</v>
      </c>
      <c r="H332" s="13">
        <v>263</v>
      </c>
      <c r="I332" s="41">
        <f t="shared" si="17"/>
        <v>109.72048393825615</v>
      </c>
      <c r="J332" s="13">
        <v>3.8</v>
      </c>
      <c r="K332" s="36">
        <v>21</v>
      </c>
      <c r="L332" s="13">
        <v>0.78</v>
      </c>
      <c r="M332" s="14">
        <v>121</v>
      </c>
      <c r="N332" s="35">
        <v>11</v>
      </c>
      <c r="O332" s="14">
        <v>490</v>
      </c>
      <c r="P332" s="48">
        <v>38.6</v>
      </c>
      <c r="Q332" s="14">
        <v>252</v>
      </c>
      <c r="R332" s="8">
        <v>8.1</v>
      </c>
      <c r="S332" s="13">
        <v>7.86</v>
      </c>
    </row>
    <row r="333" spans="1:19" x14ac:dyDescent="0.25">
      <c r="A333" s="17">
        <v>45989</v>
      </c>
      <c r="B333" s="13">
        <v>10282</v>
      </c>
      <c r="C333" s="13">
        <v>60</v>
      </c>
      <c r="D333" s="79">
        <f t="shared" si="15"/>
        <v>6169.2</v>
      </c>
      <c r="E333" s="13">
        <v>3.5</v>
      </c>
      <c r="F333" s="79">
        <f t="shared" si="16"/>
        <v>359.87</v>
      </c>
      <c r="G333" s="13">
        <v>2387</v>
      </c>
      <c r="H333" s="13">
        <v>237</v>
      </c>
      <c r="I333" s="41">
        <f t="shared" si="17"/>
        <v>99.287808965228322</v>
      </c>
      <c r="J333" s="13">
        <v>3.2</v>
      </c>
      <c r="K333" s="36">
        <v>18</v>
      </c>
      <c r="L333" s="13">
        <v>0.44</v>
      </c>
      <c r="M333" s="14">
        <v>120</v>
      </c>
      <c r="N333" s="35">
        <v>7.7</v>
      </c>
      <c r="O333" s="14">
        <v>450</v>
      </c>
      <c r="P333" s="47">
        <v>29</v>
      </c>
      <c r="Q333" s="14">
        <v>246</v>
      </c>
      <c r="R333" s="8">
        <v>7</v>
      </c>
      <c r="S333" s="13">
        <v>7.93</v>
      </c>
    </row>
    <row r="334" spans="1:19" x14ac:dyDescent="0.25">
      <c r="A334" s="17">
        <v>45990</v>
      </c>
      <c r="B334" s="13">
        <v>10169</v>
      </c>
      <c r="C334" s="13">
        <v>60</v>
      </c>
      <c r="D334" s="79">
        <f t="shared" si="15"/>
        <v>6101.4</v>
      </c>
      <c r="E334" s="13">
        <v>3.6</v>
      </c>
      <c r="F334" s="79">
        <f t="shared" si="16"/>
        <v>366.084</v>
      </c>
      <c r="G334" s="13">
        <v>2386</v>
      </c>
      <c r="H334" s="13">
        <v>257</v>
      </c>
      <c r="I334" s="41">
        <f t="shared" si="17"/>
        <v>107.7116512992456</v>
      </c>
      <c r="J334" s="13">
        <v>3.5</v>
      </c>
      <c r="K334" s="36">
        <v>18</v>
      </c>
      <c r="L334" s="13">
        <v>0.72</v>
      </c>
      <c r="M334" s="14">
        <v>164</v>
      </c>
      <c r="N334" s="35">
        <v>14</v>
      </c>
      <c r="O334" s="14">
        <v>500</v>
      </c>
      <c r="P334" s="47">
        <v>37</v>
      </c>
      <c r="Q334" s="14">
        <v>250</v>
      </c>
      <c r="R334" s="8">
        <v>9</v>
      </c>
      <c r="S334" s="13">
        <v>7.9</v>
      </c>
    </row>
    <row r="335" spans="1:19" x14ac:dyDescent="0.25">
      <c r="A335" s="17">
        <v>45991</v>
      </c>
      <c r="B335" s="13">
        <v>10044</v>
      </c>
      <c r="C335" s="13">
        <v>64</v>
      </c>
      <c r="D335" s="79">
        <f t="shared" si="15"/>
        <v>6428.16</v>
      </c>
      <c r="E335" s="13">
        <v>3.6</v>
      </c>
      <c r="F335" s="79">
        <f t="shared" si="16"/>
        <v>361.584</v>
      </c>
      <c r="G335" s="13">
        <v>2365</v>
      </c>
      <c r="H335" s="13">
        <v>238</v>
      </c>
      <c r="I335" s="41">
        <f t="shared" si="17"/>
        <v>100.63424947145877</v>
      </c>
      <c r="J335" s="13">
        <v>3.3</v>
      </c>
      <c r="K335" s="36">
        <v>21</v>
      </c>
      <c r="L335" s="13">
        <v>0.34</v>
      </c>
      <c r="M335" s="14">
        <v>123</v>
      </c>
      <c r="N335" s="35">
        <v>15</v>
      </c>
      <c r="O335" s="14">
        <v>470</v>
      </c>
      <c r="P335" s="47">
        <v>38</v>
      </c>
      <c r="Q335" s="14">
        <v>254</v>
      </c>
      <c r="R335" s="8">
        <v>10.1</v>
      </c>
      <c r="S335" s="13">
        <v>7.92</v>
      </c>
    </row>
    <row r="336" spans="1:19" x14ac:dyDescent="0.25">
      <c r="A336" s="17">
        <v>45992</v>
      </c>
      <c r="B336" s="13">
        <v>10567</v>
      </c>
      <c r="C336" s="13">
        <v>64</v>
      </c>
      <c r="D336" s="79">
        <f t="shared" si="15"/>
        <v>6762.88</v>
      </c>
      <c r="E336" s="13">
        <v>3.4</v>
      </c>
      <c r="F336" s="79">
        <f t="shared" si="16"/>
        <v>359.27799999999996</v>
      </c>
      <c r="G336" s="13">
        <v>2385</v>
      </c>
      <c r="H336" s="13">
        <v>251</v>
      </c>
      <c r="I336" s="41">
        <f t="shared" si="17"/>
        <v>105.24109014675052</v>
      </c>
      <c r="J336" s="13">
        <v>3.74</v>
      </c>
      <c r="K336" s="36">
        <v>18.600000000000001</v>
      </c>
      <c r="L336" s="13">
        <v>0.82</v>
      </c>
      <c r="M336" s="14">
        <v>140</v>
      </c>
      <c r="N336" s="35">
        <v>12.7</v>
      </c>
      <c r="O336" s="14">
        <v>500</v>
      </c>
      <c r="P336" s="47">
        <v>37</v>
      </c>
      <c r="Q336" s="14">
        <v>249</v>
      </c>
      <c r="R336" s="8">
        <v>9</v>
      </c>
      <c r="S336" s="13">
        <v>7.87</v>
      </c>
    </row>
    <row r="337" spans="1:19" x14ac:dyDescent="0.25">
      <c r="A337" s="17">
        <v>45993</v>
      </c>
      <c r="B337" s="13">
        <v>12875</v>
      </c>
      <c r="C337" s="13">
        <v>64</v>
      </c>
      <c r="D337" s="79">
        <f t="shared" si="15"/>
        <v>8240</v>
      </c>
      <c r="E337" s="13">
        <v>3.3</v>
      </c>
      <c r="F337" s="79">
        <f t="shared" si="16"/>
        <v>424.875</v>
      </c>
      <c r="G337" s="13">
        <v>2367</v>
      </c>
      <c r="H337" s="13">
        <v>271</v>
      </c>
      <c r="I337" s="41">
        <f t="shared" si="17"/>
        <v>114.49091677228559</v>
      </c>
      <c r="J337" s="13">
        <v>3</v>
      </c>
      <c r="K337" s="36">
        <v>19</v>
      </c>
      <c r="L337" s="13">
        <v>0.81</v>
      </c>
      <c r="M337" s="14">
        <v>180</v>
      </c>
      <c r="N337" s="35">
        <v>15</v>
      </c>
      <c r="O337" s="14">
        <v>480</v>
      </c>
      <c r="P337" s="47">
        <v>37</v>
      </c>
      <c r="Q337" s="14">
        <v>251</v>
      </c>
      <c r="R337" s="8">
        <v>11</v>
      </c>
      <c r="S337" s="13">
        <v>7.94</v>
      </c>
    </row>
    <row r="338" spans="1:19" x14ac:dyDescent="0.25">
      <c r="A338" s="17">
        <v>45994</v>
      </c>
      <c r="B338" s="13">
        <v>10668</v>
      </c>
      <c r="C338" s="13">
        <v>64</v>
      </c>
      <c r="D338" s="79">
        <f t="shared" si="15"/>
        <v>6827.52</v>
      </c>
      <c r="E338" s="13">
        <v>3.5</v>
      </c>
      <c r="F338" s="79">
        <f t="shared" si="16"/>
        <v>373.38</v>
      </c>
      <c r="G338" s="13">
        <v>2363</v>
      </c>
      <c r="H338" s="13">
        <v>271</v>
      </c>
      <c r="I338" s="41">
        <f t="shared" si="17"/>
        <v>114.68472280998731</v>
      </c>
      <c r="J338" s="13">
        <v>3.6</v>
      </c>
      <c r="K338" s="36">
        <v>19</v>
      </c>
      <c r="L338" s="13">
        <v>0.41</v>
      </c>
      <c r="M338" s="14">
        <v>177</v>
      </c>
      <c r="N338" s="35">
        <v>14</v>
      </c>
      <c r="O338" s="14">
        <v>540</v>
      </c>
      <c r="P338" s="47">
        <v>37</v>
      </c>
      <c r="Q338" s="14">
        <v>221</v>
      </c>
      <c r="R338" s="8">
        <v>9.1999999999999993</v>
      </c>
      <c r="S338" s="13">
        <v>7.9</v>
      </c>
    </row>
    <row r="339" spans="1:19" x14ac:dyDescent="0.25">
      <c r="A339" s="17">
        <v>45995</v>
      </c>
      <c r="B339" s="13">
        <v>10268</v>
      </c>
      <c r="C339" s="13">
        <v>64</v>
      </c>
      <c r="D339" s="79">
        <f t="shared" si="15"/>
        <v>6571.52</v>
      </c>
      <c r="E339" s="13">
        <v>3.5</v>
      </c>
      <c r="F339" s="79">
        <f t="shared" si="16"/>
        <v>359.38</v>
      </c>
      <c r="G339" s="13">
        <v>2374</v>
      </c>
      <c r="H339" s="13">
        <v>263</v>
      </c>
      <c r="I339" s="41">
        <f t="shared" si="17"/>
        <v>110.78348778433025</v>
      </c>
      <c r="J339" s="13">
        <v>3.35</v>
      </c>
      <c r="K339" s="36">
        <v>17</v>
      </c>
      <c r="L339" s="13">
        <v>0.78</v>
      </c>
      <c r="M339" s="14">
        <v>188</v>
      </c>
      <c r="N339" s="35">
        <v>13</v>
      </c>
      <c r="O339" s="14">
        <v>460</v>
      </c>
      <c r="P339" s="47">
        <v>38</v>
      </c>
      <c r="Q339" s="14">
        <v>253</v>
      </c>
      <c r="R339" s="8">
        <v>8.3000000000000007</v>
      </c>
      <c r="S339" s="13">
        <v>7.91</v>
      </c>
    </row>
    <row r="340" spans="1:19" x14ac:dyDescent="0.25">
      <c r="A340" s="17">
        <v>45996</v>
      </c>
      <c r="B340" s="13">
        <v>10668</v>
      </c>
      <c r="C340" s="13">
        <v>64</v>
      </c>
      <c r="D340" s="79">
        <f t="shared" si="15"/>
        <v>6827.52</v>
      </c>
      <c r="E340" s="13">
        <v>3.6</v>
      </c>
      <c r="F340" s="79">
        <f t="shared" si="16"/>
        <v>384.048</v>
      </c>
      <c r="G340" s="13">
        <v>2366</v>
      </c>
      <c r="H340" s="13">
        <v>258</v>
      </c>
      <c r="I340" s="41">
        <f t="shared" si="17"/>
        <v>109.04480135249366</v>
      </c>
      <c r="J340" s="13">
        <v>3.8</v>
      </c>
      <c r="K340" s="36">
        <v>19</v>
      </c>
      <c r="L340" s="13">
        <v>0.56000000000000005</v>
      </c>
      <c r="M340" s="14">
        <v>160</v>
      </c>
      <c r="N340" s="35">
        <v>12</v>
      </c>
      <c r="O340" s="14">
        <v>500</v>
      </c>
      <c r="P340" s="47">
        <v>39</v>
      </c>
      <c r="Q340" s="14">
        <v>248</v>
      </c>
      <c r="R340" s="8">
        <v>8.6</v>
      </c>
      <c r="S340" s="13">
        <v>7.88</v>
      </c>
    </row>
    <row r="341" spans="1:19" x14ac:dyDescent="0.25">
      <c r="A341" s="17">
        <v>45997</v>
      </c>
      <c r="B341" s="13">
        <v>10168</v>
      </c>
      <c r="C341" s="13">
        <v>64</v>
      </c>
      <c r="D341" s="79">
        <f t="shared" si="15"/>
        <v>6507.52</v>
      </c>
      <c r="E341" s="13">
        <v>3.6</v>
      </c>
      <c r="F341" s="79">
        <f t="shared" si="16"/>
        <v>366.048</v>
      </c>
      <c r="G341" s="13">
        <v>2369</v>
      </c>
      <c r="H341" s="13">
        <v>244</v>
      </c>
      <c r="I341" s="41">
        <f t="shared" si="17"/>
        <v>102.99704516673702</v>
      </c>
      <c r="J341" s="13">
        <v>3</v>
      </c>
      <c r="K341" s="36">
        <v>19</v>
      </c>
      <c r="L341" s="13">
        <v>0.46</v>
      </c>
      <c r="M341" s="14">
        <v>138</v>
      </c>
      <c r="N341" s="35">
        <v>11</v>
      </c>
      <c r="O341" s="14">
        <v>530</v>
      </c>
      <c r="P341" s="47">
        <v>35</v>
      </c>
      <c r="Q341" s="14">
        <v>252</v>
      </c>
      <c r="R341" s="8">
        <v>9.3000000000000007</v>
      </c>
      <c r="S341" s="13">
        <v>7.6</v>
      </c>
    </row>
    <row r="342" spans="1:19" x14ac:dyDescent="0.25">
      <c r="A342" s="17">
        <v>45998</v>
      </c>
      <c r="B342" s="13">
        <v>10157</v>
      </c>
      <c r="C342" s="13">
        <v>64</v>
      </c>
      <c r="D342" s="79">
        <f t="shared" si="15"/>
        <v>6500.48</v>
      </c>
      <c r="E342" s="13">
        <v>3.4</v>
      </c>
      <c r="F342" s="79">
        <f t="shared" si="16"/>
        <v>345.33799999999997</v>
      </c>
      <c r="G342" s="13">
        <v>2394</v>
      </c>
      <c r="H342" s="13">
        <v>239</v>
      </c>
      <c r="I342" s="41">
        <f t="shared" si="17"/>
        <v>99.832915622389308</v>
      </c>
      <c r="J342" s="13">
        <v>3.6</v>
      </c>
      <c r="K342" s="36">
        <v>18</v>
      </c>
      <c r="L342" s="13">
        <v>0.77</v>
      </c>
      <c r="M342" s="14">
        <v>150</v>
      </c>
      <c r="N342" s="35">
        <v>9.6</v>
      </c>
      <c r="O342" s="14">
        <v>540</v>
      </c>
      <c r="P342" s="48">
        <v>22.2</v>
      </c>
      <c r="Q342" s="14">
        <v>246</v>
      </c>
      <c r="R342" s="8">
        <v>8</v>
      </c>
      <c r="S342" s="13">
        <v>7.54</v>
      </c>
    </row>
    <row r="343" spans="1:19" x14ac:dyDescent="0.25">
      <c r="A343" s="17">
        <v>45999</v>
      </c>
      <c r="B343" s="13">
        <v>10295</v>
      </c>
      <c r="C343" s="13">
        <v>64</v>
      </c>
      <c r="D343" s="79">
        <f t="shared" si="15"/>
        <v>6588.8</v>
      </c>
      <c r="E343" s="13">
        <v>3.3</v>
      </c>
      <c r="F343" s="79">
        <f t="shared" si="16"/>
        <v>339.73500000000001</v>
      </c>
      <c r="G343" s="13">
        <v>2376</v>
      </c>
      <c r="H343" s="13">
        <v>235</v>
      </c>
      <c r="I343" s="41">
        <f t="shared" si="17"/>
        <v>98.905723905723903</v>
      </c>
      <c r="J343" s="13">
        <v>3.32</v>
      </c>
      <c r="K343" s="36">
        <v>18</v>
      </c>
      <c r="L343" s="13">
        <v>0.41</v>
      </c>
      <c r="M343" s="14">
        <v>140</v>
      </c>
      <c r="N343" s="35">
        <v>9.5</v>
      </c>
      <c r="O343" s="14">
        <v>490</v>
      </c>
      <c r="P343" s="47">
        <v>31</v>
      </c>
      <c r="Q343" s="14">
        <v>200</v>
      </c>
      <c r="R343" s="8">
        <v>8</v>
      </c>
      <c r="S343" s="13">
        <v>7.63</v>
      </c>
    </row>
    <row r="344" spans="1:19" x14ac:dyDescent="0.25">
      <c r="A344" s="17">
        <v>46000</v>
      </c>
      <c r="B344" s="13">
        <v>10166</v>
      </c>
      <c r="C344" s="13">
        <v>64</v>
      </c>
      <c r="D344" s="79">
        <f t="shared" si="15"/>
        <v>6506.24</v>
      </c>
      <c r="E344" s="13">
        <v>3.5</v>
      </c>
      <c r="F344" s="79">
        <f t="shared" si="16"/>
        <v>355.81</v>
      </c>
      <c r="G344" s="13">
        <v>2395</v>
      </c>
      <c r="H344" s="13">
        <v>270</v>
      </c>
      <c r="I344" s="41">
        <f t="shared" si="17"/>
        <v>112.7348643006263</v>
      </c>
      <c r="J344" s="13">
        <v>3.5</v>
      </c>
      <c r="K344" s="36">
        <v>19</v>
      </c>
      <c r="L344" s="13">
        <v>0.28000000000000003</v>
      </c>
      <c r="M344" s="14">
        <v>130</v>
      </c>
      <c r="N344" s="35">
        <v>16</v>
      </c>
      <c r="O344" s="14">
        <v>539</v>
      </c>
      <c r="P344" s="47">
        <v>43</v>
      </c>
      <c r="Q344" s="14">
        <v>249</v>
      </c>
      <c r="R344" s="8">
        <v>10</v>
      </c>
      <c r="S344" s="13">
        <v>7.6</v>
      </c>
    </row>
    <row r="345" spans="1:19" x14ac:dyDescent="0.25">
      <c r="A345" s="17">
        <v>46001</v>
      </c>
      <c r="B345" s="13">
        <v>10291</v>
      </c>
      <c r="C345" s="13">
        <v>64</v>
      </c>
      <c r="D345" s="79">
        <f t="shared" si="15"/>
        <v>6586.24</v>
      </c>
      <c r="E345" s="13">
        <v>3.5</v>
      </c>
      <c r="F345" s="79">
        <f t="shared" si="16"/>
        <v>360.185</v>
      </c>
      <c r="G345" s="13">
        <v>2368</v>
      </c>
      <c r="H345" s="13">
        <v>253</v>
      </c>
      <c r="I345" s="41">
        <f t="shared" si="17"/>
        <v>106.84121621621621</v>
      </c>
      <c r="J345" s="13">
        <v>3.3</v>
      </c>
      <c r="K345" s="36">
        <v>19</v>
      </c>
      <c r="L345" s="13">
        <v>0.39</v>
      </c>
      <c r="M345" s="14">
        <v>140</v>
      </c>
      <c r="N345" s="35">
        <v>12.6</v>
      </c>
      <c r="O345" s="14">
        <v>489</v>
      </c>
      <c r="P345" s="48">
        <v>37.9</v>
      </c>
      <c r="Q345" s="14">
        <v>254</v>
      </c>
      <c r="R345" s="8">
        <v>9</v>
      </c>
      <c r="S345" s="13">
        <v>7.62</v>
      </c>
    </row>
    <row r="346" spans="1:19" x14ac:dyDescent="0.25">
      <c r="A346" s="17">
        <v>46002</v>
      </c>
      <c r="B346" s="13">
        <v>10641</v>
      </c>
      <c r="C346" s="13">
        <v>64</v>
      </c>
      <c r="D346" s="79">
        <f t="shared" si="15"/>
        <v>6810.24</v>
      </c>
      <c r="E346" s="13">
        <v>3.5</v>
      </c>
      <c r="F346" s="79">
        <f t="shared" si="16"/>
        <v>372.435</v>
      </c>
      <c r="G346" s="13">
        <v>2375</v>
      </c>
      <c r="H346" s="13">
        <v>245</v>
      </c>
      <c r="I346" s="41">
        <f t="shared" si="17"/>
        <v>103.15789473684211</v>
      </c>
      <c r="J346" s="13">
        <v>3.45</v>
      </c>
      <c r="K346" s="36">
        <v>16</v>
      </c>
      <c r="L346" s="13">
        <v>0.48</v>
      </c>
      <c r="M346" s="14">
        <v>124</v>
      </c>
      <c r="N346" s="35">
        <v>12</v>
      </c>
      <c r="O346" s="14">
        <v>500</v>
      </c>
      <c r="P346" s="47">
        <v>41</v>
      </c>
      <c r="Q346" s="14">
        <v>247</v>
      </c>
      <c r="R346" s="8">
        <v>8.6999999999999993</v>
      </c>
      <c r="S346" s="13">
        <v>7.57</v>
      </c>
    </row>
    <row r="347" spans="1:19" x14ac:dyDescent="0.25">
      <c r="A347" s="17">
        <v>46003</v>
      </c>
      <c r="B347" s="13">
        <v>10164</v>
      </c>
      <c r="C347" s="13">
        <v>64</v>
      </c>
      <c r="D347" s="79">
        <f t="shared" si="15"/>
        <v>6504.96</v>
      </c>
      <c r="E347" s="13">
        <v>3.4</v>
      </c>
      <c r="F347" s="79">
        <f t="shared" si="16"/>
        <v>345.57599999999996</v>
      </c>
      <c r="G347" s="13">
        <v>2391</v>
      </c>
      <c r="H347" s="13">
        <v>243</v>
      </c>
      <c r="I347" s="41">
        <f t="shared" si="17"/>
        <v>101.63111668757841</v>
      </c>
      <c r="J347" s="13">
        <v>3.8</v>
      </c>
      <c r="K347" s="36">
        <v>16</v>
      </c>
      <c r="L347" s="13">
        <v>0.81</v>
      </c>
      <c r="M347" s="14">
        <v>130</v>
      </c>
      <c r="N347" s="35">
        <v>13</v>
      </c>
      <c r="O347" s="14">
        <v>500</v>
      </c>
      <c r="P347" s="47">
        <v>30</v>
      </c>
      <c r="Q347" s="14">
        <v>250</v>
      </c>
      <c r="R347" s="8">
        <v>10</v>
      </c>
      <c r="S347" s="13">
        <v>7.64</v>
      </c>
    </row>
    <row r="348" spans="1:19" x14ac:dyDescent="0.25">
      <c r="A348" s="17">
        <v>46004</v>
      </c>
      <c r="B348" s="13">
        <v>10164</v>
      </c>
      <c r="C348" s="13">
        <v>64</v>
      </c>
      <c r="D348" s="79">
        <f t="shared" si="15"/>
        <v>6504.96</v>
      </c>
      <c r="E348" s="13">
        <v>3.4</v>
      </c>
      <c r="F348" s="79">
        <f t="shared" si="16"/>
        <v>345.57599999999996</v>
      </c>
      <c r="G348" s="13">
        <v>2393</v>
      </c>
      <c r="H348" s="13">
        <v>261</v>
      </c>
      <c r="I348" s="41">
        <f t="shared" si="17"/>
        <v>109.06811533639782</v>
      </c>
      <c r="J348" s="13">
        <v>3.4</v>
      </c>
      <c r="K348" s="36">
        <v>19</v>
      </c>
      <c r="L348" s="13">
        <v>0.88</v>
      </c>
      <c r="M348" s="14">
        <v>190</v>
      </c>
      <c r="N348" s="35">
        <v>14</v>
      </c>
      <c r="O348" s="14">
        <v>480</v>
      </c>
      <c r="P348" s="48">
        <v>37.1</v>
      </c>
      <c r="Q348" s="14">
        <v>253</v>
      </c>
      <c r="R348" s="8">
        <v>10</v>
      </c>
      <c r="S348" s="13">
        <v>7.6</v>
      </c>
    </row>
    <row r="349" spans="1:19" x14ac:dyDescent="0.25">
      <c r="A349" s="17">
        <v>46005</v>
      </c>
      <c r="B349" s="13">
        <v>10100</v>
      </c>
      <c r="C349" s="13">
        <v>64</v>
      </c>
      <c r="D349" s="79">
        <f t="shared" si="15"/>
        <v>6464</v>
      </c>
      <c r="E349" s="13">
        <v>3.6</v>
      </c>
      <c r="F349" s="79">
        <f t="shared" si="16"/>
        <v>363.6</v>
      </c>
      <c r="G349" s="13">
        <v>2363</v>
      </c>
      <c r="H349" s="13">
        <v>267</v>
      </c>
      <c r="I349" s="41">
        <f t="shared" si="17"/>
        <v>112.99195937367753</v>
      </c>
      <c r="J349" s="13">
        <v>4.0199999999999996</v>
      </c>
      <c r="K349" s="36">
        <v>17</v>
      </c>
      <c r="L349" s="13">
        <v>0.45</v>
      </c>
      <c r="M349" s="14">
        <v>178</v>
      </c>
      <c r="N349" s="35">
        <v>16.399999999999999</v>
      </c>
      <c r="O349" s="14">
        <v>530</v>
      </c>
      <c r="P349" s="48">
        <v>46.1</v>
      </c>
      <c r="Q349" s="14">
        <v>245</v>
      </c>
      <c r="R349" s="8">
        <v>9.6999999999999993</v>
      </c>
      <c r="S349" s="13">
        <v>7.61</v>
      </c>
    </row>
    <row r="350" spans="1:19" x14ac:dyDescent="0.25">
      <c r="A350" s="17">
        <v>46006</v>
      </c>
      <c r="B350" s="13">
        <v>10547</v>
      </c>
      <c r="C350" s="13">
        <v>64</v>
      </c>
      <c r="D350" s="79">
        <f t="shared" si="15"/>
        <v>6750.08</v>
      </c>
      <c r="E350" s="13">
        <v>3.3</v>
      </c>
      <c r="F350" s="79">
        <f t="shared" si="16"/>
        <v>348.05099999999999</v>
      </c>
      <c r="G350" s="13">
        <v>2398</v>
      </c>
      <c r="H350" s="13">
        <v>269</v>
      </c>
      <c r="I350" s="41">
        <f t="shared" si="17"/>
        <v>112.1768140116764</v>
      </c>
      <c r="J350" s="13">
        <v>3.6</v>
      </c>
      <c r="K350" s="36">
        <v>19</v>
      </c>
      <c r="L350" s="13">
        <v>0.67</v>
      </c>
      <c r="M350" s="14">
        <v>170</v>
      </c>
      <c r="N350" s="35">
        <v>16</v>
      </c>
      <c r="O350" s="14">
        <v>400</v>
      </c>
      <c r="P350" s="48">
        <v>38</v>
      </c>
      <c r="Q350" s="14">
        <v>251</v>
      </c>
      <c r="R350" s="8">
        <v>10</v>
      </c>
      <c r="S350" s="13">
        <v>7.57</v>
      </c>
    </row>
    <row r="351" spans="1:19" x14ac:dyDescent="0.25">
      <c r="A351" s="17">
        <v>46007</v>
      </c>
      <c r="B351" s="13">
        <v>10032</v>
      </c>
      <c r="C351" s="13">
        <v>64</v>
      </c>
      <c r="D351" s="79">
        <f t="shared" si="15"/>
        <v>6420.48</v>
      </c>
      <c r="E351" s="13">
        <v>3.5</v>
      </c>
      <c r="F351" s="79">
        <f t="shared" si="16"/>
        <v>351.12</v>
      </c>
      <c r="G351" s="13">
        <v>2390</v>
      </c>
      <c r="H351" s="13">
        <v>266</v>
      </c>
      <c r="I351" s="41">
        <f t="shared" si="17"/>
        <v>111.29707112970711</v>
      </c>
      <c r="J351" s="13">
        <v>3.3</v>
      </c>
      <c r="K351" s="36">
        <v>16</v>
      </c>
      <c r="L351" s="13">
        <v>0.52</v>
      </c>
      <c r="M351" s="14">
        <v>156</v>
      </c>
      <c r="N351" s="35">
        <v>15</v>
      </c>
      <c r="O351" s="14">
        <v>530</v>
      </c>
      <c r="P351" s="47">
        <v>46</v>
      </c>
      <c r="Q351" s="14">
        <v>248</v>
      </c>
      <c r="R351" s="8">
        <v>10</v>
      </c>
      <c r="S351" s="13">
        <v>7.63</v>
      </c>
    </row>
    <row r="352" spans="1:19" x14ac:dyDescent="0.25">
      <c r="A352" s="17">
        <v>46008</v>
      </c>
      <c r="B352" s="13">
        <v>10100</v>
      </c>
      <c r="C352" s="13">
        <v>64</v>
      </c>
      <c r="D352" s="79">
        <f t="shared" si="15"/>
        <v>6464</v>
      </c>
      <c r="E352" s="13">
        <v>3.6</v>
      </c>
      <c r="F352" s="79">
        <f t="shared" si="16"/>
        <v>363.6</v>
      </c>
      <c r="G352" s="13">
        <v>2364</v>
      </c>
      <c r="H352" s="13">
        <v>268</v>
      </c>
      <c r="I352" s="41">
        <f t="shared" si="17"/>
        <v>113.36717428087987</v>
      </c>
      <c r="J352" s="13">
        <v>4.0999999999999996</v>
      </c>
      <c r="K352" s="36">
        <v>16</v>
      </c>
      <c r="L352" s="13">
        <v>0.89</v>
      </c>
      <c r="M352" s="14">
        <v>157</v>
      </c>
      <c r="N352" s="35">
        <v>14.8</v>
      </c>
      <c r="O352" s="14">
        <v>540</v>
      </c>
      <c r="P352" s="47">
        <v>42</v>
      </c>
      <c r="Q352" s="14">
        <v>252</v>
      </c>
      <c r="R352" s="8">
        <v>11</v>
      </c>
      <c r="S352" s="13">
        <v>7.6</v>
      </c>
    </row>
    <row r="353" spans="1:19" x14ac:dyDescent="0.25">
      <c r="A353" s="17">
        <v>46009</v>
      </c>
      <c r="B353" s="13">
        <v>10470</v>
      </c>
      <c r="C353" s="13">
        <v>63</v>
      </c>
      <c r="D353" s="79">
        <f t="shared" si="15"/>
        <v>6596.1</v>
      </c>
      <c r="E353" s="13">
        <v>3.6</v>
      </c>
      <c r="F353" s="79">
        <f t="shared" si="16"/>
        <v>376.92</v>
      </c>
      <c r="G353" s="13">
        <v>2383</v>
      </c>
      <c r="H353" s="13">
        <v>236</v>
      </c>
      <c r="I353" s="41">
        <f t="shared" si="17"/>
        <v>99.034830046160309</v>
      </c>
      <c r="J353" s="13">
        <v>3.5</v>
      </c>
      <c r="K353" s="36">
        <v>18</v>
      </c>
      <c r="L353" s="13">
        <v>0.61</v>
      </c>
      <c r="M353" s="14">
        <v>150</v>
      </c>
      <c r="N353" s="35">
        <v>11.2</v>
      </c>
      <c r="O353" s="14">
        <v>396</v>
      </c>
      <c r="P353" s="47">
        <v>37</v>
      </c>
      <c r="Q353" s="14">
        <v>246</v>
      </c>
      <c r="R353" s="8">
        <v>8</v>
      </c>
      <c r="S353" s="13">
        <v>7.62</v>
      </c>
    </row>
    <row r="354" spans="1:19" x14ac:dyDescent="0.25">
      <c r="A354" s="17">
        <v>46010</v>
      </c>
      <c r="B354" s="13">
        <v>10162</v>
      </c>
      <c r="C354" s="13">
        <v>63</v>
      </c>
      <c r="D354" s="79">
        <f t="shared" si="15"/>
        <v>6402.06</v>
      </c>
      <c r="E354" s="13">
        <v>3.4</v>
      </c>
      <c r="F354" s="79">
        <f t="shared" si="16"/>
        <v>345.50799999999998</v>
      </c>
      <c r="G354" s="13">
        <v>2368</v>
      </c>
      <c r="H354" s="13">
        <v>260</v>
      </c>
      <c r="I354" s="41">
        <f t="shared" si="17"/>
        <v>109.79729729729729</v>
      </c>
      <c r="J354" s="13">
        <v>3.8</v>
      </c>
      <c r="K354" s="36">
        <v>16.5</v>
      </c>
      <c r="L354" s="13">
        <v>0.86</v>
      </c>
      <c r="M354" s="14">
        <v>155</v>
      </c>
      <c r="N354" s="35">
        <v>12</v>
      </c>
      <c r="O354" s="14">
        <v>411</v>
      </c>
      <c r="P354" s="47">
        <v>28</v>
      </c>
      <c r="Q354" s="14">
        <v>167</v>
      </c>
      <c r="R354" s="8">
        <v>9.6999999999999993</v>
      </c>
      <c r="S354" s="13">
        <v>7.56</v>
      </c>
    </row>
    <row r="355" spans="1:19" x14ac:dyDescent="0.25">
      <c r="A355" s="17">
        <v>46011</v>
      </c>
      <c r="B355" s="13">
        <v>10060</v>
      </c>
      <c r="C355" s="13">
        <v>63</v>
      </c>
      <c r="D355" s="79">
        <f t="shared" si="15"/>
        <v>6337.8</v>
      </c>
      <c r="E355" s="13">
        <v>3.3</v>
      </c>
      <c r="F355" s="79">
        <f t="shared" si="16"/>
        <v>331.98</v>
      </c>
      <c r="G355" s="13">
        <v>2396</v>
      </c>
      <c r="H355" s="13">
        <v>255</v>
      </c>
      <c r="I355" s="41">
        <f t="shared" si="17"/>
        <v>106.42737896494157</v>
      </c>
      <c r="J355" s="13">
        <v>3.6</v>
      </c>
      <c r="K355" s="36">
        <v>17</v>
      </c>
      <c r="L355" s="13">
        <v>0.34</v>
      </c>
      <c r="M355" s="14">
        <v>123</v>
      </c>
      <c r="N355" s="35">
        <v>11.8</v>
      </c>
      <c r="O355" s="14">
        <v>417</v>
      </c>
      <c r="P355" s="48">
        <v>37.700000000000003</v>
      </c>
      <c r="Q355" s="14">
        <v>250</v>
      </c>
      <c r="R355" s="8">
        <v>10.3</v>
      </c>
      <c r="S355" s="13">
        <v>7.64</v>
      </c>
    </row>
    <row r="356" spans="1:19" x14ac:dyDescent="0.25">
      <c r="A356" s="17">
        <v>46012</v>
      </c>
      <c r="B356" s="13">
        <v>10605</v>
      </c>
      <c r="C356" s="13">
        <v>63</v>
      </c>
      <c r="D356" s="79">
        <f t="shared" si="15"/>
        <v>6681.15</v>
      </c>
      <c r="E356" s="13">
        <v>3.5</v>
      </c>
      <c r="F356" s="79">
        <f t="shared" si="16"/>
        <v>371.17500000000001</v>
      </c>
      <c r="G356" s="13">
        <v>2385</v>
      </c>
      <c r="H356" s="13">
        <v>245</v>
      </c>
      <c r="I356" s="41">
        <f t="shared" si="17"/>
        <v>102.72536687631028</v>
      </c>
      <c r="J356" s="13">
        <v>4.04</v>
      </c>
      <c r="K356" s="36">
        <v>17</v>
      </c>
      <c r="L356" s="13">
        <v>0.88</v>
      </c>
      <c r="M356" s="14">
        <v>123</v>
      </c>
      <c r="N356" s="35">
        <v>7</v>
      </c>
      <c r="O356" s="14">
        <v>290</v>
      </c>
      <c r="P356" s="47">
        <v>29</v>
      </c>
      <c r="Q356" s="14">
        <v>164</v>
      </c>
      <c r="R356" s="8">
        <v>6</v>
      </c>
      <c r="S356" s="13">
        <v>7.6</v>
      </c>
    </row>
    <row r="357" spans="1:19" x14ac:dyDescent="0.25">
      <c r="A357" s="17">
        <v>46013</v>
      </c>
      <c r="B357" s="13">
        <v>2562</v>
      </c>
      <c r="C357" s="13">
        <v>63</v>
      </c>
      <c r="D357" s="79">
        <f t="shared" si="15"/>
        <v>1614.06</v>
      </c>
      <c r="E357" s="13">
        <v>3.5</v>
      </c>
      <c r="F357" s="79">
        <f t="shared" si="16"/>
        <v>89.67</v>
      </c>
      <c r="G357" s="13">
        <v>2393</v>
      </c>
      <c r="H357" s="13">
        <v>264</v>
      </c>
      <c r="I357" s="41">
        <f t="shared" si="17"/>
        <v>110.32177183451734</v>
      </c>
      <c r="J357" s="13">
        <v>3.3</v>
      </c>
      <c r="K357" s="36">
        <v>16</v>
      </c>
      <c r="L357" s="13">
        <v>0.38</v>
      </c>
      <c r="M357" s="14">
        <v>160</v>
      </c>
      <c r="N357" s="35">
        <v>14</v>
      </c>
      <c r="O357" s="14">
        <v>415</v>
      </c>
      <c r="P357" s="47">
        <v>40</v>
      </c>
      <c r="Q357" s="14">
        <v>253</v>
      </c>
      <c r="R357" s="8">
        <v>10</v>
      </c>
      <c r="S357" s="13">
        <v>7.61</v>
      </c>
    </row>
    <row r="358" spans="1:19" x14ac:dyDescent="0.25">
      <c r="A358" s="17">
        <v>46014</v>
      </c>
      <c r="B358" s="13">
        <v>8782</v>
      </c>
      <c r="C358" s="13">
        <v>63</v>
      </c>
      <c r="D358" s="79">
        <f t="shared" si="15"/>
        <v>5532.66</v>
      </c>
      <c r="E358" s="13">
        <v>3.5</v>
      </c>
      <c r="F358" s="79">
        <f t="shared" si="16"/>
        <v>307.37</v>
      </c>
      <c r="G358" s="13">
        <v>2395</v>
      </c>
      <c r="H358" s="13">
        <v>260</v>
      </c>
      <c r="I358" s="41">
        <f t="shared" si="17"/>
        <v>108.55949895615866</v>
      </c>
      <c r="J358" s="13">
        <v>3.9</v>
      </c>
      <c r="K358" s="36">
        <v>18</v>
      </c>
      <c r="L358" s="13">
        <v>0.88</v>
      </c>
      <c r="M358" s="14">
        <v>139</v>
      </c>
      <c r="N358" s="35">
        <v>12</v>
      </c>
      <c r="O358" s="14">
        <v>410</v>
      </c>
      <c r="P358" s="47">
        <v>36</v>
      </c>
      <c r="Q358" s="14">
        <v>251</v>
      </c>
      <c r="R358" s="8">
        <v>9</v>
      </c>
      <c r="S358" s="13">
        <v>7.58</v>
      </c>
    </row>
    <row r="359" spans="1:19" x14ac:dyDescent="0.25">
      <c r="A359" s="17">
        <v>46015</v>
      </c>
      <c r="B359" s="13">
        <v>12657</v>
      </c>
      <c r="C359" s="13">
        <v>63</v>
      </c>
      <c r="D359" s="79">
        <f t="shared" si="15"/>
        <v>7973.91</v>
      </c>
      <c r="E359" s="13">
        <v>3.4</v>
      </c>
      <c r="F359" s="79">
        <f t="shared" si="16"/>
        <v>430.33799999999997</v>
      </c>
      <c r="G359" s="13">
        <v>2363</v>
      </c>
      <c r="H359" s="13">
        <v>242</v>
      </c>
      <c r="I359" s="41">
        <f t="shared" si="17"/>
        <v>102.41218789674143</v>
      </c>
      <c r="J359" s="13">
        <v>3.65</v>
      </c>
      <c r="K359" s="36">
        <v>19</v>
      </c>
      <c r="L359" s="13">
        <v>0.44</v>
      </c>
      <c r="M359" s="14">
        <v>157</v>
      </c>
      <c r="N359" s="35">
        <v>13</v>
      </c>
      <c r="O359" s="14">
        <v>421</v>
      </c>
      <c r="P359" s="47">
        <v>38</v>
      </c>
      <c r="Q359" s="14">
        <v>248</v>
      </c>
      <c r="R359" s="8">
        <v>9</v>
      </c>
      <c r="S359" s="13">
        <v>8.1</v>
      </c>
    </row>
    <row r="360" spans="1:19" x14ac:dyDescent="0.25">
      <c r="A360" s="17">
        <v>46016</v>
      </c>
      <c r="B360" s="13">
        <v>10682</v>
      </c>
      <c r="C360" s="13">
        <v>63</v>
      </c>
      <c r="D360" s="79">
        <f t="shared" si="15"/>
        <v>6729.66</v>
      </c>
      <c r="E360" s="13">
        <v>3.4</v>
      </c>
      <c r="F360" s="79">
        <f t="shared" si="16"/>
        <v>363.18799999999993</v>
      </c>
      <c r="G360" s="13">
        <v>2371</v>
      </c>
      <c r="H360" s="13">
        <v>266</v>
      </c>
      <c r="I360" s="41">
        <f t="shared" si="17"/>
        <v>112.18894981020667</v>
      </c>
      <c r="J360" s="13">
        <v>4.0999999999999996</v>
      </c>
      <c r="K360" s="36">
        <v>17</v>
      </c>
      <c r="L360" s="13">
        <v>0.34</v>
      </c>
      <c r="M360" s="14">
        <v>137</v>
      </c>
      <c r="N360" s="35">
        <v>12</v>
      </c>
      <c r="O360" s="14">
        <v>395</v>
      </c>
      <c r="P360" s="47">
        <v>32</v>
      </c>
      <c r="Q360" s="14">
        <v>252</v>
      </c>
      <c r="R360" s="8">
        <v>9.6</v>
      </c>
      <c r="S360" s="13">
        <v>8.0399999999999991</v>
      </c>
    </row>
    <row r="361" spans="1:19" x14ac:dyDescent="0.25">
      <c r="A361" s="17">
        <v>46017</v>
      </c>
      <c r="B361" s="13">
        <v>9794</v>
      </c>
      <c r="C361" s="13">
        <v>63</v>
      </c>
      <c r="D361" s="79">
        <f t="shared" si="15"/>
        <v>6170.22</v>
      </c>
      <c r="E361" s="13">
        <v>3.3</v>
      </c>
      <c r="F361" s="79">
        <f t="shared" si="16"/>
        <v>323.202</v>
      </c>
      <c r="G361" s="13">
        <v>2399</v>
      </c>
      <c r="H361" s="13">
        <v>259</v>
      </c>
      <c r="I361" s="41">
        <f t="shared" si="17"/>
        <v>107.96165068778657</v>
      </c>
      <c r="J361" s="13">
        <v>3.3</v>
      </c>
      <c r="K361" s="36">
        <v>17</v>
      </c>
      <c r="L361" s="13">
        <v>0.54</v>
      </c>
      <c r="M361" s="14">
        <v>136</v>
      </c>
      <c r="N361" s="35">
        <v>12</v>
      </c>
      <c r="O361" s="14">
        <v>411</v>
      </c>
      <c r="P361" s="48">
        <v>34.700000000000003</v>
      </c>
      <c r="Q361" s="14">
        <v>246</v>
      </c>
      <c r="R361" s="8">
        <v>10</v>
      </c>
      <c r="S361" s="13">
        <v>8.1300000000000008</v>
      </c>
    </row>
    <row r="362" spans="1:19" x14ac:dyDescent="0.25">
      <c r="A362" s="17">
        <v>46018</v>
      </c>
      <c r="B362" s="13">
        <v>9806</v>
      </c>
      <c r="C362" s="13">
        <v>63</v>
      </c>
      <c r="D362" s="79">
        <f t="shared" si="15"/>
        <v>6177.78</v>
      </c>
      <c r="E362" s="13">
        <v>3.5</v>
      </c>
      <c r="F362" s="79">
        <f t="shared" si="16"/>
        <v>343.21</v>
      </c>
      <c r="G362" s="13">
        <v>2473</v>
      </c>
      <c r="H362" s="13">
        <v>252</v>
      </c>
      <c r="I362" s="41">
        <f t="shared" si="17"/>
        <v>101.900525677315</v>
      </c>
      <c r="J362" s="13">
        <v>3.9</v>
      </c>
      <c r="K362" s="36">
        <v>19</v>
      </c>
      <c r="L362" s="13">
        <v>0.73</v>
      </c>
      <c r="M362" s="14">
        <v>134</v>
      </c>
      <c r="N362" s="35">
        <v>10</v>
      </c>
      <c r="O362" s="14">
        <v>404</v>
      </c>
      <c r="P362" s="47">
        <v>31</v>
      </c>
      <c r="Q362" s="14">
        <v>180</v>
      </c>
      <c r="R362" s="8">
        <v>7</v>
      </c>
      <c r="S362" s="13">
        <v>8.1</v>
      </c>
    </row>
    <row r="363" spans="1:19" x14ac:dyDescent="0.25">
      <c r="A363" s="17">
        <v>46019</v>
      </c>
      <c r="B363" s="13">
        <v>10300</v>
      </c>
      <c r="C363" s="13">
        <v>63</v>
      </c>
      <c r="D363" s="79">
        <f t="shared" si="15"/>
        <v>6489</v>
      </c>
      <c r="E363" s="13">
        <v>3.5</v>
      </c>
      <c r="F363" s="79">
        <f t="shared" si="16"/>
        <v>360.5</v>
      </c>
      <c r="G363" s="13">
        <v>2457</v>
      </c>
      <c r="H363" s="13">
        <v>248</v>
      </c>
      <c r="I363" s="41">
        <f t="shared" si="17"/>
        <v>100.93610093610094</v>
      </c>
      <c r="J363" s="13">
        <v>3.62</v>
      </c>
      <c r="K363" s="36">
        <v>17.8</v>
      </c>
      <c r="L363" s="13">
        <v>0.77</v>
      </c>
      <c r="M363" s="14">
        <v>139</v>
      </c>
      <c r="N363" s="35">
        <v>11.7</v>
      </c>
      <c r="O363" s="14">
        <v>415</v>
      </c>
      <c r="P363" s="47">
        <v>36</v>
      </c>
      <c r="Q363" s="14">
        <v>254</v>
      </c>
      <c r="R363" s="8">
        <v>8.9</v>
      </c>
      <c r="S363" s="13">
        <v>8.1199999999999992</v>
      </c>
    </row>
    <row r="364" spans="1:19" x14ac:dyDescent="0.25">
      <c r="A364" s="17">
        <v>46020</v>
      </c>
      <c r="B364" s="13">
        <v>10041</v>
      </c>
      <c r="C364" s="13">
        <v>63</v>
      </c>
      <c r="D364" s="79">
        <f t="shared" si="15"/>
        <v>6325.83</v>
      </c>
      <c r="E364" s="13">
        <v>3.5</v>
      </c>
      <c r="F364" s="79">
        <f t="shared" si="16"/>
        <v>351.435</v>
      </c>
      <c r="G364" s="13">
        <v>2485</v>
      </c>
      <c r="H364" s="13">
        <v>276</v>
      </c>
      <c r="I364" s="41">
        <f t="shared" si="17"/>
        <v>111.06639839034206</v>
      </c>
      <c r="J364" s="13">
        <v>3.8</v>
      </c>
      <c r="K364" s="36">
        <v>19</v>
      </c>
      <c r="L364" s="13">
        <v>0.65</v>
      </c>
      <c r="M364" s="14">
        <v>166</v>
      </c>
      <c r="N364" s="35">
        <v>15</v>
      </c>
      <c r="O364" s="14">
        <v>405</v>
      </c>
      <c r="P364" s="47">
        <v>40</v>
      </c>
      <c r="Q364" s="14">
        <v>249</v>
      </c>
      <c r="R364" s="8">
        <v>11</v>
      </c>
      <c r="S364" s="13">
        <v>8.07</v>
      </c>
    </row>
    <row r="365" spans="1:19" x14ac:dyDescent="0.25">
      <c r="A365" s="17">
        <v>46021</v>
      </c>
      <c r="B365" s="13">
        <v>10100</v>
      </c>
      <c r="C365" s="13">
        <v>63</v>
      </c>
      <c r="D365" s="79">
        <f t="shared" si="15"/>
        <v>6363</v>
      </c>
      <c r="E365" s="13">
        <v>3.4</v>
      </c>
      <c r="F365" s="79">
        <f t="shared" si="16"/>
        <v>343.4</v>
      </c>
      <c r="G365" s="13">
        <v>2466</v>
      </c>
      <c r="H365" s="13">
        <v>263</v>
      </c>
      <c r="I365" s="41">
        <f t="shared" si="17"/>
        <v>106.65044606650446</v>
      </c>
      <c r="J365" s="13">
        <v>3.6</v>
      </c>
      <c r="K365" s="36">
        <v>17</v>
      </c>
      <c r="L365" s="13">
        <v>0.59</v>
      </c>
      <c r="M365" s="14">
        <v>163</v>
      </c>
      <c r="N365" s="35">
        <v>14</v>
      </c>
      <c r="O365" s="14">
        <v>417</v>
      </c>
      <c r="P365" s="48">
        <v>35.4</v>
      </c>
      <c r="Q365" s="14">
        <v>251</v>
      </c>
      <c r="R365" s="8">
        <v>11</v>
      </c>
      <c r="S365" s="13">
        <v>8.15</v>
      </c>
    </row>
    <row r="366" spans="1:19" ht="15" x14ac:dyDescent="0.25">
      <c r="A366" s="17">
        <v>46022</v>
      </c>
      <c r="B366" s="13">
        <v>10640</v>
      </c>
      <c r="C366" s="13">
        <v>63</v>
      </c>
      <c r="D366" s="79">
        <f t="shared" si="15"/>
        <v>6703.2</v>
      </c>
      <c r="E366" s="13">
        <v>3.4</v>
      </c>
      <c r="F366" s="79">
        <f t="shared" si="16"/>
        <v>361.76</v>
      </c>
      <c r="G366" s="13">
        <v>2355</v>
      </c>
      <c r="H366" s="13">
        <v>251</v>
      </c>
      <c r="I366" s="41">
        <f t="shared" si="17"/>
        <v>106.58174097664543</v>
      </c>
      <c r="J366" s="13">
        <v>4</v>
      </c>
      <c r="K366" s="36">
        <v>18</v>
      </c>
      <c r="L366" s="13">
        <v>0.53</v>
      </c>
      <c r="M366" s="14">
        <v>140</v>
      </c>
      <c r="N366" s="35">
        <v>14</v>
      </c>
      <c r="O366" s="14">
        <v>403</v>
      </c>
      <c r="P366" s="49">
        <v>39</v>
      </c>
      <c r="Q366" s="14">
        <v>255</v>
      </c>
      <c r="R366" s="8">
        <v>12</v>
      </c>
      <c r="S366" s="13">
        <v>8.1999999999999993</v>
      </c>
    </row>
    <row r="367" spans="1:19" x14ac:dyDescent="0.25">
      <c r="N367" s="35"/>
    </row>
    <row r="368" spans="1:19" x14ac:dyDescent="0.25">
      <c r="N368" s="35"/>
    </row>
    <row r="369" spans="14:14" x14ac:dyDescent="0.25">
      <c r="N369" s="35"/>
    </row>
    <row r="370" spans="14:14" x14ac:dyDescent="0.25">
      <c r="N370" s="35"/>
    </row>
    <row r="371" spans="14:14" x14ac:dyDescent="0.25">
      <c r="N371" s="35"/>
    </row>
    <row r="372" spans="14:14" x14ac:dyDescent="0.25">
      <c r="N372" s="35"/>
    </row>
    <row r="373" spans="14:14" x14ac:dyDescent="0.25">
      <c r="N373" s="35"/>
    </row>
    <row r="374" spans="14:14" x14ac:dyDescent="0.25">
      <c r="N374" s="35"/>
    </row>
    <row r="375" spans="14:14" x14ac:dyDescent="0.25">
      <c r="N375" s="35"/>
    </row>
    <row r="376" spans="14:14" x14ac:dyDescent="0.25">
      <c r="N376" s="35"/>
    </row>
    <row r="377" spans="14:14" x14ac:dyDescent="0.25">
      <c r="N377" s="35"/>
    </row>
    <row r="378" spans="14:14" x14ac:dyDescent="0.25">
      <c r="N378" s="35"/>
    </row>
    <row r="379" spans="14:14" x14ac:dyDescent="0.25">
      <c r="N379" s="35"/>
    </row>
    <row r="380" spans="14:14" x14ac:dyDescent="0.25">
      <c r="N380" s="35"/>
    </row>
    <row r="381" spans="14:14" x14ac:dyDescent="0.25">
      <c r="N381" s="35"/>
    </row>
    <row r="382" spans="14:14" x14ac:dyDescent="0.25">
      <c r="N382" s="35"/>
    </row>
    <row r="383" spans="14:14" x14ac:dyDescent="0.25">
      <c r="N383" s="35"/>
    </row>
    <row r="384" spans="14:14" x14ac:dyDescent="0.25">
      <c r="N384" s="35"/>
    </row>
    <row r="385" spans="10:14" x14ac:dyDescent="0.25">
      <c r="N385" s="35"/>
    </row>
    <row r="386" spans="10:14" x14ac:dyDescent="0.25">
      <c r="N386" s="35"/>
    </row>
    <row r="387" spans="10:14" x14ac:dyDescent="0.25">
      <c r="N387" s="35"/>
    </row>
    <row r="388" spans="10:14" x14ac:dyDescent="0.25">
      <c r="J388" s="1" t="s">
        <v>73</v>
      </c>
      <c r="K388" s="39" t="s">
        <v>74</v>
      </c>
      <c r="N388" s="35"/>
    </row>
    <row r="389" spans="10:14" x14ac:dyDescent="0.25">
      <c r="J389" s="34"/>
      <c r="N389" s="35"/>
    </row>
    <row r="390" spans="10:14" x14ac:dyDescent="0.25">
      <c r="J390" s="34"/>
      <c r="N390" s="35"/>
    </row>
    <row r="391" spans="10:14" x14ac:dyDescent="0.25">
      <c r="J391" s="34"/>
      <c r="N391" s="35"/>
    </row>
    <row r="392" spans="10:14" x14ac:dyDescent="0.25">
      <c r="J392" s="34"/>
      <c r="N392" s="35"/>
    </row>
    <row r="393" spans="10:14" x14ac:dyDescent="0.25">
      <c r="J393" s="34"/>
      <c r="N393" s="35"/>
    </row>
    <row r="394" spans="10:14" x14ac:dyDescent="0.25">
      <c r="J394" s="34"/>
      <c r="N394" s="35"/>
    </row>
    <row r="395" spans="10:14" x14ac:dyDescent="0.25">
      <c r="J395" s="34"/>
      <c r="N395" s="35"/>
    </row>
    <row r="396" spans="10:14" x14ac:dyDescent="0.25">
      <c r="J396" s="34"/>
      <c r="N396" s="35"/>
    </row>
    <row r="397" spans="10:14" x14ac:dyDescent="0.25">
      <c r="J397" s="34"/>
      <c r="N397" s="35"/>
    </row>
    <row r="398" spans="10:14" x14ac:dyDescent="0.25">
      <c r="J398" s="34"/>
      <c r="N398" s="35"/>
    </row>
    <row r="399" spans="10:14" x14ac:dyDescent="0.25">
      <c r="J399" s="34"/>
      <c r="N399" s="35"/>
    </row>
    <row r="400" spans="10:14" x14ac:dyDescent="0.25">
      <c r="J400" s="34"/>
      <c r="N400" s="35"/>
    </row>
    <row r="401" spans="10:14" x14ac:dyDescent="0.25">
      <c r="J401" s="34"/>
      <c r="N401" s="35"/>
    </row>
    <row r="402" spans="10:14" x14ac:dyDescent="0.25">
      <c r="J402" s="34"/>
    </row>
    <row r="403" spans="10:14" x14ac:dyDescent="0.25">
      <c r="J403" s="34"/>
    </row>
    <row r="404" spans="10:14" x14ac:dyDescent="0.25">
      <c r="J404" s="34"/>
    </row>
    <row r="405" spans="10:14" x14ac:dyDescent="0.25">
      <c r="J405" s="34"/>
    </row>
    <row r="406" spans="10:14" x14ac:dyDescent="0.25">
      <c r="J406" s="34"/>
    </row>
    <row r="407" spans="10:14" x14ac:dyDescent="0.25">
      <c r="J407" s="34"/>
    </row>
    <row r="408" spans="10:14" x14ac:dyDescent="0.25">
      <c r="J408" s="34"/>
    </row>
    <row r="409" spans="10:14" x14ac:dyDescent="0.25">
      <c r="J409" s="34"/>
    </row>
    <row r="410" spans="10:14" x14ac:dyDescent="0.25">
      <c r="J410" s="34"/>
    </row>
    <row r="411" spans="10:14" x14ac:dyDescent="0.25">
      <c r="J411" s="34"/>
    </row>
    <row r="412" spans="10:14" x14ac:dyDescent="0.25">
      <c r="J412" s="34"/>
    </row>
    <row r="413" spans="10:14" x14ac:dyDescent="0.25">
      <c r="J413" s="34"/>
    </row>
    <row r="414" spans="10:14" x14ac:dyDescent="0.25">
      <c r="J414" s="34"/>
    </row>
    <row r="415" spans="10:14" x14ac:dyDescent="0.25">
      <c r="J415" s="34"/>
    </row>
    <row r="416" spans="10:14" x14ac:dyDescent="0.25">
      <c r="J416" s="34"/>
    </row>
    <row r="417" spans="10:10" x14ac:dyDescent="0.25">
      <c r="J417" s="34"/>
    </row>
    <row r="418" spans="10:10" x14ac:dyDescent="0.25">
      <c r="J418" s="34"/>
    </row>
    <row r="419" spans="10:10" x14ac:dyDescent="0.25">
      <c r="J419" s="34"/>
    </row>
    <row r="420" spans="10:10" x14ac:dyDescent="0.25">
      <c r="J420" s="34"/>
    </row>
    <row r="421" spans="10:10" x14ac:dyDescent="0.25">
      <c r="J421" s="34"/>
    </row>
    <row r="422" spans="10:10" x14ac:dyDescent="0.25">
      <c r="J422" s="34"/>
    </row>
    <row r="423" spans="10:10" x14ac:dyDescent="0.25">
      <c r="J423" s="34"/>
    </row>
    <row r="424" spans="10:10" x14ac:dyDescent="0.25">
      <c r="J424" s="34"/>
    </row>
    <row r="425" spans="10:10" x14ac:dyDescent="0.25">
      <c r="J425" s="34"/>
    </row>
    <row r="426" spans="10:10" x14ac:dyDescent="0.25">
      <c r="J426" s="34"/>
    </row>
    <row r="427" spans="10:10" x14ac:dyDescent="0.25">
      <c r="J427" s="34"/>
    </row>
    <row r="428" spans="10:10" x14ac:dyDescent="0.25">
      <c r="J428" s="34"/>
    </row>
    <row r="429" spans="10:10" x14ac:dyDescent="0.25">
      <c r="J429" s="34"/>
    </row>
    <row r="430" spans="10:10" x14ac:dyDescent="0.25">
      <c r="J430" s="34"/>
    </row>
    <row r="431" spans="10:10" x14ac:dyDescent="0.25">
      <c r="J431" s="34"/>
    </row>
    <row r="432" spans="10:10" x14ac:dyDescent="0.25">
      <c r="J432" s="34"/>
    </row>
    <row r="433" spans="10:10" x14ac:dyDescent="0.25">
      <c r="J433" s="34"/>
    </row>
    <row r="434" spans="10:10" x14ac:dyDescent="0.25">
      <c r="J434" s="34"/>
    </row>
    <row r="435" spans="10:10" x14ac:dyDescent="0.25">
      <c r="J435" s="34"/>
    </row>
    <row r="436" spans="10:10" x14ac:dyDescent="0.25">
      <c r="J436" s="34"/>
    </row>
    <row r="437" spans="10:10" x14ac:dyDescent="0.25">
      <c r="J437" s="34"/>
    </row>
    <row r="438" spans="10:10" x14ac:dyDescent="0.25">
      <c r="J438" s="34"/>
    </row>
    <row r="439" spans="10:10" x14ac:dyDescent="0.25">
      <c r="J439" s="34"/>
    </row>
    <row r="440" spans="10:10" x14ac:dyDescent="0.25">
      <c r="J440" s="34"/>
    </row>
    <row r="441" spans="10:10" x14ac:dyDescent="0.25">
      <c r="J441" s="34"/>
    </row>
    <row r="442" spans="10:10" x14ac:dyDescent="0.25">
      <c r="J442" s="34"/>
    </row>
    <row r="443" spans="10:10" x14ac:dyDescent="0.25">
      <c r="J443" s="34"/>
    </row>
    <row r="444" spans="10:10" x14ac:dyDescent="0.25">
      <c r="J444" s="34"/>
    </row>
    <row r="445" spans="10:10" x14ac:dyDescent="0.25">
      <c r="J445" s="34"/>
    </row>
    <row r="446" spans="10:10" x14ac:dyDescent="0.25">
      <c r="J446" s="34"/>
    </row>
    <row r="447" spans="10:10" x14ac:dyDescent="0.25">
      <c r="J447" s="34"/>
    </row>
    <row r="448" spans="10:10" x14ac:dyDescent="0.25">
      <c r="J448" s="34"/>
    </row>
    <row r="449" spans="10:10" x14ac:dyDescent="0.25">
      <c r="J449" s="34"/>
    </row>
    <row r="450" spans="10:10" x14ac:dyDescent="0.25">
      <c r="J450" s="34"/>
    </row>
    <row r="451" spans="10:10" x14ac:dyDescent="0.25">
      <c r="J451" s="34"/>
    </row>
    <row r="452" spans="10:10" x14ac:dyDescent="0.25">
      <c r="J452" s="34"/>
    </row>
    <row r="453" spans="10:10" x14ac:dyDescent="0.25">
      <c r="J453" s="34"/>
    </row>
    <row r="454" spans="10:10" x14ac:dyDescent="0.25">
      <c r="J454" s="34"/>
    </row>
    <row r="455" spans="10:10" x14ac:dyDescent="0.25">
      <c r="J455" s="34"/>
    </row>
    <row r="456" spans="10:10" x14ac:dyDescent="0.25">
      <c r="J456" s="34"/>
    </row>
    <row r="457" spans="10:10" x14ac:dyDescent="0.25">
      <c r="J457" s="34"/>
    </row>
    <row r="458" spans="10:10" x14ac:dyDescent="0.25">
      <c r="J458" s="34"/>
    </row>
    <row r="459" spans="10:10" x14ac:dyDescent="0.25">
      <c r="J459" s="34"/>
    </row>
    <row r="460" spans="10:10" x14ac:dyDescent="0.25">
      <c r="J460" s="34"/>
    </row>
    <row r="461" spans="10:10" x14ac:dyDescent="0.25">
      <c r="J461" s="34"/>
    </row>
    <row r="462" spans="10:10" x14ac:dyDescent="0.25">
      <c r="J462" s="34"/>
    </row>
    <row r="463" spans="10:10" x14ac:dyDescent="0.25">
      <c r="J463" s="34"/>
    </row>
    <row r="464" spans="10:10" x14ac:dyDescent="0.25">
      <c r="J464" s="34"/>
    </row>
    <row r="465" spans="10:10" x14ac:dyDescent="0.25">
      <c r="J465" s="34"/>
    </row>
    <row r="466" spans="10:10" x14ac:dyDescent="0.25">
      <c r="J466" s="34"/>
    </row>
    <row r="467" spans="10:10" x14ac:dyDescent="0.25">
      <c r="J467" s="34"/>
    </row>
    <row r="468" spans="10:10" x14ac:dyDescent="0.25">
      <c r="J468" s="34"/>
    </row>
    <row r="469" spans="10:10" x14ac:dyDescent="0.25">
      <c r="J469" s="34"/>
    </row>
    <row r="470" spans="10:10" x14ac:dyDescent="0.25">
      <c r="J470" s="34"/>
    </row>
    <row r="471" spans="10:10" x14ac:dyDescent="0.25">
      <c r="J471" s="34"/>
    </row>
    <row r="472" spans="10:10" x14ac:dyDescent="0.25">
      <c r="J472" s="34"/>
    </row>
    <row r="473" spans="10:10" x14ac:dyDescent="0.25">
      <c r="J473" s="34"/>
    </row>
    <row r="474" spans="10:10" x14ac:dyDescent="0.25">
      <c r="J474" s="34"/>
    </row>
    <row r="475" spans="10:10" x14ac:dyDescent="0.25">
      <c r="J475" s="34"/>
    </row>
    <row r="476" spans="10:10" x14ac:dyDescent="0.25">
      <c r="J476" s="34"/>
    </row>
    <row r="477" spans="10:10" x14ac:dyDescent="0.25">
      <c r="J477" s="34"/>
    </row>
    <row r="478" spans="10:10" x14ac:dyDescent="0.25">
      <c r="J478" s="34"/>
    </row>
    <row r="479" spans="10:10" x14ac:dyDescent="0.25">
      <c r="J479" s="34"/>
    </row>
    <row r="480" spans="10:10" x14ac:dyDescent="0.25">
      <c r="J480" s="34"/>
    </row>
    <row r="481" spans="10:10" x14ac:dyDescent="0.25">
      <c r="J481" s="34"/>
    </row>
    <row r="482" spans="10:10" x14ac:dyDescent="0.25">
      <c r="J482" s="34"/>
    </row>
    <row r="483" spans="10:10" x14ac:dyDescent="0.25">
      <c r="J483" s="34"/>
    </row>
    <row r="484" spans="10:10" x14ac:dyDescent="0.25">
      <c r="J484" s="34"/>
    </row>
    <row r="485" spans="10:10" x14ac:dyDescent="0.25">
      <c r="J485" s="34"/>
    </row>
    <row r="486" spans="10:10" x14ac:dyDescent="0.25">
      <c r="J486" s="34"/>
    </row>
    <row r="487" spans="10:10" x14ac:dyDescent="0.25">
      <c r="J487" s="34"/>
    </row>
    <row r="488" spans="10:10" x14ac:dyDescent="0.25">
      <c r="J488" s="34"/>
    </row>
    <row r="489" spans="10:10" x14ac:dyDescent="0.25">
      <c r="J489" s="34"/>
    </row>
    <row r="490" spans="10:10" x14ac:dyDescent="0.25">
      <c r="J490" s="34"/>
    </row>
    <row r="491" spans="10:10" x14ac:dyDescent="0.25">
      <c r="J491" s="34"/>
    </row>
    <row r="492" spans="10:10" x14ac:dyDescent="0.25">
      <c r="J492" s="34"/>
    </row>
    <row r="493" spans="10:10" x14ac:dyDescent="0.25">
      <c r="J493" s="34"/>
    </row>
    <row r="494" spans="10:10" x14ac:dyDescent="0.25">
      <c r="J494" s="34"/>
    </row>
    <row r="495" spans="10:10" x14ac:dyDescent="0.25">
      <c r="J495" s="34"/>
    </row>
    <row r="496" spans="10:10" x14ac:dyDescent="0.25">
      <c r="J496" s="34"/>
    </row>
    <row r="497" spans="10:10" x14ac:dyDescent="0.25">
      <c r="J497" s="34"/>
    </row>
    <row r="498" spans="10:10" x14ac:dyDescent="0.25">
      <c r="J498" s="34"/>
    </row>
    <row r="499" spans="10:10" x14ac:dyDescent="0.25">
      <c r="J499" s="34"/>
    </row>
    <row r="500" spans="10:10" x14ac:dyDescent="0.25">
      <c r="J500" s="34"/>
    </row>
    <row r="501" spans="10:10" x14ac:dyDescent="0.25">
      <c r="J501" s="34"/>
    </row>
    <row r="502" spans="10:10" x14ac:dyDescent="0.25">
      <c r="J502" s="34"/>
    </row>
    <row r="503" spans="10:10" x14ac:dyDescent="0.25">
      <c r="J503" s="34"/>
    </row>
    <row r="504" spans="10:10" x14ac:dyDescent="0.25">
      <c r="J504" s="34"/>
    </row>
    <row r="505" spans="10:10" x14ac:dyDescent="0.25">
      <c r="J505" s="34"/>
    </row>
    <row r="506" spans="10:10" x14ac:dyDescent="0.25">
      <c r="J506" s="34"/>
    </row>
    <row r="507" spans="10:10" x14ac:dyDescent="0.25">
      <c r="J507" s="34"/>
    </row>
    <row r="508" spans="10:10" x14ac:dyDescent="0.25">
      <c r="J508" s="34"/>
    </row>
    <row r="509" spans="10:10" x14ac:dyDescent="0.25">
      <c r="J509" s="34"/>
    </row>
    <row r="510" spans="10:10" x14ac:dyDescent="0.25">
      <c r="J510" s="34"/>
    </row>
    <row r="511" spans="10:10" x14ac:dyDescent="0.25">
      <c r="J511" s="34"/>
    </row>
    <row r="512" spans="10:10" x14ac:dyDescent="0.25">
      <c r="J512" s="34"/>
    </row>
    <row r="513" spans="10:10" x14ac:dyDescent="0.25">
      <c r="J513" s="34"/>
    </row>
    <row r="514" spans="10:10" x14ac:dyDescent="0.25">
      <c r="J514" s="34"/>
    </row>
    <row r="515" spans="10:10" x14ac:dyDescent="0.25">
      <c r="J515" s="34"/>
    </row>
    <row r="516" spans="10:10" x14ac:dyDescent="0.25">
      <c r="J516" s="34"/>
    </row>
    <row r="517" spans="10:10" x14ac:dyDescent="0.25">
      <c r="J517" s="34"/>
    </row>
    <row r="518" spans="10:10" x14ac:dyDescent="0.25">
      <c r="J518" s="34"/>
    </row>
    <row r="519" spans="10:10" x14ac:dyDescent="0.25">
      <c r="J519" s="34"/>
    </row>
    <row r="520" spans="10:10" x14ac:dyDescent="0.25">
      <c r="J520" s="34"/>
    </row>
    <row r="521" spans="10:10" x14ac:dyDescent="0.25">
      <c r="J521" s="34"/>
    </row>
    <row r="522" spans="10:10" x14ac:dyDescent="0.25">
      <c r="J522" s="34"/>
    </row>
    <row r="523" spans="10:10" x14ac:dyDescent="0.25">
      <c r="J523" s="34"/>
    </row>
    <row r="524" spans="10:10" x14ac:dyDescent="0.25">
      <c r="J524" s="34"/>
    </row>
    <row r="525" spans="10:10" x14ac:dyDescent="0.25">
      <c r="J525" s="34"/>
    </row>
    <row r="526" spans="10:10" x14ac:dyDescent="0.25">
      <c r="J526" s="34"/>
    </row>
    <row r="527" spans="10:10" x14ac:dyDescent="0.25">
      <c r="J527" s="34"/>
    </row>
    <row r="528" spans="10:10" x14ac:dyDescent="0.25">
      <c r="J528" s="34"/>
    </row>
    <row r="529" spans="10:10" x14ac:dyDescent="0.25">
      <c r="J529" s="34"/>
    </row>
    <row r="530" spans="10:10" x14ac:dyDescent="0.25">
      <c r="J530" s="34"/>
    </row>
    <row r="531" spans="10:10" x14ac:dyDescent="0.25">
      <c r="J531" s="34"/>
    </row>
    <row r="532" spans="10:10" x14ac:dyDescent="0.25">
      <c r="J532" s="34"/>
    </row>
    <row r="533" spans="10:10" x14ac:dyDescent="0.25">
      <c r="J533" s="34"/>
    </row>
    <row r="534" spans="10:10" x14ac:dyDescent="0.25">
      <c r="J534" s="34"/>
    </row>
    <row r="535" spans="10:10" x14ac:dyDescent="0.25">
      <c r="J535" s="34"/>
    </row>
    <row r="536" spans="10:10" x14ac:dyDescent="0.25">
      <c r="J536" s="34"/>
    </row>
    <row r="537" spans="10:10" x14ac:dyDescent="0.25">
      <c r="J537" s="34"/>
    </row>
    <row r="538" spans="10:10" x14ac:dyDescent="0.25">
      <c r="J538" s="34"/>
    </row>
    <row r="539" spans="10:10" x14ac:dyDescent="0.25">
      <c r="J539" s="34"/>
    </row>
    <row r="540" spans="10:10" x14ac:dyDescent="0.25">
      <c r="J540" s="34"/>
    </row>
    <row r="541" spans="10:10" x14ac:dyDescent="0.25">
      <c r="J541" s="34"/>
    </row>
    <row r="542" spans="10:10" x14ac:dyDescent="0.25">
      <c r="J542" s="34"/>
    </row>
    <row r="543" spans="10:10" x14ac:dyDescent="0.25">
      <c r="J543" s="34"/>
    </row>
    <row r="544" spans="10:10" x14ac:dyDescent="0.25">
      <c r="J544" s="34"/>
    </row>
    <row r="545" spans="10:10" x14ac:dyDescent="0.25">
      <c r="J545" s="34"/>
    </row>
    <row r="546" spans="10:10" x14ac:dyDescent="0.25">
      <c r="J546" s="34"/>
    </row>
    <row r="547" spans="10:10" x14ac:dyDescent="0.25">
      <c r="J547" s="34"/>
    </row>
    <row r="548" spans="10:10" x14ac:dyDescent="0.25">
      <c r="J548" s="34"/>
    </row>
    <row r="549" spans="10:10" x14ac:dyDescent="0.25">
      <c r="J549" s="34"/>
    </row>
    <row r="550" spans="10:10" x14ac:dyDescent="0.25">
      <c r="J550" s="34"/>
    </row>
    <row r="551" spans="10:10" x14ac:dyDescent="0.25">
      <c r="J551" s="34"/>
    </row>
    <row r="552" spans="10:10" x14ac:dyDescent="0.25">
      <c r="J552" s="34"/>
    </row>
    <row r="553" spans="10:10" x14ac:dyDescent="0.25">
      <c r="J553" s="34"/>
    </row>
    <row r="554" spans="10:10" x14ac:dyDescent="0.25">
      <c r="J554" s="34"/>
    </row>
    <row r="555" spans="10:10" x14ac:dyDescent="0.25">
      <c r="J555" s="34"/>
    </row>
    <row r="556" spans="10:10" x14ac:dyDescent="0.25">
      <c r="J556" s="34"/>
    </row>
    <row r="557" spans="10:10" x14ac:dyDescent="0.25">
      <c r="J557" s="34"/>
    </row>
    <row r="558" spans="10:10" x14ac:dyDescent="0.25">
      <c r="J558" s="34"/>
    </row>
    <row r="559" spans="10:10" x14ac:dyDescent="0.25">
      <c r="J559" s="34"/>
    </row>
    <row r="560" spans="10:10" x14ac:dyDescent="0.25">
      <c r="J560" s="34"/>
    </row>
    <row r="561" spans="10:10" x14ac:dyDescent="0.25">
      <c r="J561" s="34"/>
    </row>
    <row r="562" spans="10:10" x14ac:dyDescent="0.25">
      <c r="J562" s="34"/>
    </row>
    <row r="563" spans="10:10" x14ac:dyDescent="0.25">
      <c r="J563" s="34"/>
    </row>
    <row r="564" spans="10:10" x14ac:dyDescent="0.25">
      <c r="J564" s="34"/>
    </row>
    <row r="565" spans="10:10" x14ac:dyDescent="0.25">
      <c r="J565" s="34"/>
    </row>
    <row r="566" spans="10:10" x14ac:dyDescent="0.25">
      <c r="J566" s="34"/>
    </row>
    <row r="567" spans="10:10" x14ac:dyDescent="0.25">
      <c r="J567" s="34"/>
    </row>
    <row r="568" spans="10:10" x14ac:dyDescent="0.25">
      <c r="J568" s="34"/>
    </row>
    <row r="569" spans="10:10" x14ac:dyDescent="0.25">
      <c r="J569" s="34"/>
    </row>
    <row r="570" spans="10:10" x14ac:dyDescent="0.25">
      <c r="J570" s="34"/>
    </row>
    <row r="571" spans="10:10" x14ac:dyDescent="0.25">
      <c r="J571" s="34"/>
    </row>
    <row r="572" spans="10:10" x14ac:dyDescent="0.25">
      <c r="J572" s="34"/>
    </row>
    <row r="573" spans="10:10" x14ac:dyDescent="0.25">
      <c r="J573" s="34"/>
    </row>
    <row r="574" spans="10:10" x14ac:dyDescent="0.25">
      <c r="J574" s="34"/>
    </row>
    <row r="575" spans="10:10" x14ac:dyDescent="0.25">
      <c r="J575" s="34"/>
    </row>
    <row r="576" spans="10:10" x14ac:dyDescent="0.25">
      <c r="J576" s="34"/>
    </row>
    <row r="577" spans="10:10" x14ac:dyDescent="0.25">
      <c r="J577" s="34"/>
    </row>
    <row r="578" spans="10:10" x14ac:dyDescent="0.25">
      <c r="J578" s="34"/>
    </row>
    <row r="579" spans="10:10" x14ac:dyDescent="0.25">
      <c r="J579" s="34"/>
    </row>
    <row r="580" spans="10:10" x14ac:dyDescent="0.25">
      <c r="J580" s="34"/>
    </row>
    <row r="581" spans="10:10" x14ac:dyDescent="0.25">
      <c r="J581" s="34"/>
    </row>
    <row r="582" spans="10:10" x14ac:dyDescent="0.25">
      <c r="J582" s="34"/>
    </row>
    <row r="583" spans="10:10" x14ac:dyDescent="0.25">
      <c r="J583" s="34"/>
    </row>
    <row r="584" spans="10:10" x14ac:dyDescent="0.25">
      <c r="J584" s="34"/>
    </row>
    <row r="585" spans="10:10" x14ac:dyDescent="0.25">
      <c r="J585" s="34"/>
    </row>
    <row r="586" spans="10:10" x14ac:dyDescent="0.25">
      <c r="J586" s="34"/>
    </row>
    <row r="587" spans="10:10" x14ac:dyDescent="0.25">
      <c r="J587" s="34"/>
    </row>
    <row r="588" spans="10:10" x14ac:dyDescent="0.25">
      <c r="J588" s="34"/>
    </row>
    <row r="589" spans="10:10" x14ac:dyDescent="0.25">
      <c r="J589" s="34"/>
    </row>
    <row r="590" spans="10:10" x14ac:dyDescent="0.25">
      <c r="J590" s="34"/>
    </row>
    <row r="591" spans="10:10" x14ac:dyDescent="0.25">
      <c r="J591" s="34"/>
    </row>
    <row r="592" spans="10:10" x14ac:dyDescent="0.25">
      <c r="J592" s="34"/>
    </row>
    <row r="593" spans="10:10" x14ac:dyDescent="0.25">
      <c r="J593" s="34"/>
    </row>
    <row r="594" spans="10:10" x14ac:dyDescent="0.25">
      <c r="J594" s="34"/>
    </row>
    <row r="595" spans="10:10" x14ac:dyDescent="0.25">
      <c r="J595" s="34"/>
    </row>
    <row r="596" spans="10:10" x14ac:dyDescent="0.25">
      <c r="J596" s="34"/>
    </row>
    <row r="597" spans="10:10" x14ac:dyDescent="0.25">
      <c r="J597" s="34"/>
    </row>
    <row r="598" spans="10:10" x14ac:dyDescent="0.25">
      <c r="J598" s="34"/>
    </row>
    <row r="599" spans="10:10" x14ac:dyDescent="0.25">
      <c r="J599" s="34"/>
    </row>
    <row r="600" spans="10:10" x14ac:dyDescent="0.25">
      <c r="J600" s="34"/>
    </row>
    <row r="601" spans="10:10" x14ac:dyDescent="0.25">
      <c r="J601" s="34"/>
    </row>
    <row r="602" spans="10:10" x14ac:dyDescent="0.25">
      <c r="J602" s="34"/>
    </row>
    <row r="603" spans="10:10" x14ac:dyDescent="0.25">
      <c r="J603" s="34"/>
    </row>
    <row r="604" spans="10:10" x14ac:dyDescent="0.25">
      <c r="J604" s="34"/>
    </row>
    <row r="605" spans="10:10" x14ac:dyDescent="0.25">
      <c r="J605" s="34"/>
    </row>
    <row r="606" spans="10:10" x14ac:dyDescent="0.25">
      <c r="J606" s="34"/>
    </row>
    <row r="607" spans="10:10" x14ac:dyDescent="0.25">
      <c r="J607" s="34"/>
    </row>
    <row r="608" spans="10:10" x14ac:dyDescent="0.25">
      <c r="J608" s="34"/>
    </row>
    <row r="609" spans="10:10" x14ac:dyDescent="0.25">
      <c r="J609" s="34"/>
    </row>
    <row r="610" spans="10:10" x14ac:dyDescent="0.25">
      <c r="J610" s="34"/>
    </row>
    <row r="611" spans="10:10" x14ac:dyDescent="0.25">
      <c r="J611" s="34"/>
    </row>
    <row r="612" spans="10:10" x14ac:dyDescent="0.25">
      <c r="J612" s="34"/>
    </row>
    <row r="613" spans="10:10" x14ac:dyDescent="0.25">
      <c r="J613" s="34"/>
    </row>
    <row r="614" spans="10:10" x14ac:dyDescent="0.25">
      <c r="J614" s="34"/>
    </row>
    <row r="615" spans="10:10" x14ac:dyDescent="0.25">
      <c r="J615" s="34"/>
    </row>
    <row r="616" spans="10:10" x14ac:dyDescent="0.25">
      <c r="J616" s="34"/>
    </row>
    <row r="617" spans="10:10" x14ac:dyDescent="0.25">
      <c r="J617" s="34"/>
    </row>
    <row r="618" spans="10:10" x14ac:dyDescent="0.25">
      <c r="J618" s="34"/>
    </row>
    <row r="619" spans="10:10" x14ac:dyDescent="0.25">
      <c r="J619" s="34"/>
    </row>
    <row r="620" spans="10:10" x14ac:dyDescent="0.25">
      <c r="J620" s="34"/>
    </row>
    <row r="621" spans="10:10" x14ac:dyDescent="0.25">
      <c r="J621" s="34"/>
    </row>
    <row r="622" spans="10:10" x14ac:dyDescent="0.25">
      <c r="J622" s="34"/>
    </row>
    <row r="623" spans="10:10" x14ac:dyDescent="0.25">
      <c r="J623" s="34"/>
    </row>
    <row r="624" spans="10:10" x14ac:dyDescent="0.25">
      <c r="J624" s="34"/>
    </row>
    <row r="625" spans="10:10" x14ac:dyDescent="0.25">
      <c r="J625" s="34"/>
    </row>
    <row r="626" spans="10:10" x14ac:dyDescent="0.25">
      <c r="J626" s="34"/>
    </row>
    <row r="627" spans="10:10" x14ac:dyDescent="0.25">
      <c r="J627" s="34"/>
    </row>
    <row r="628" spans="10:10" x14ac:dyDescent="0.25">
      <c r="J628" s="34"/>
    </row>
    <row r="629" spans="10:10" x14ac:dyDescent="0.25">
      <c r="J629" s="34"/>
    </row>
    <row r="630" spans="10:10" x14ac:dyDescent="0.25">
      <c r="J630" s="34"/>
    </row>
    <row r="631" spans="10:10" x14ac:dyDescent="0.25">
      <c r="J631" s="34"/>
    </row>
    <row r="632" spans="10:10" x14ac:dyDescent="0.25">
      <c r="J632" s="34"/>
    </row>
    <row r="633" spans="10:10" x14ac:dyDescent="0.25">
      <c r="J633" s="34"/>
    </row>
    <row r="634" spans="10:10" x14ac:dyDescent="0.25">
      <c r="J634" s="34"/>
    </row>
    <row r="635" spans="10:10" x14ac:dyDescent="0.25">
      <c r="J635" s="34"/>
    </row>
    <row r="636" spans="10:10" x14ac:dyDescent="0.25">
      <c r="J636" s="34"/>
    </row>
    <row r="637" spans="10:10" x14ac:dyDescent="0.25">
      <c r="J637" s="34"/>
    </row>
    <row r="638" spans="10:10" x14ac:dyDescent="0.25">
      <c r="J638" s="34"/>
    </row>
    <row r="639" spans="10:10" x14ac:dyDescent="0.25">
      <c r="J639" s="34"/>
    </row>
    <row r="640" spans="10:10" x14ac:dyDescent="0.25">
      <c r="J640" s="34"/>
    </row>
    <row r="641" spans="10:10" x14ac:dyDescent="0.25">
      <c r="J641" s="34"/>
    </row>
    <row r="642" spans="10:10" x14ac:dyDescent="0.25">
      <c r="J642" s="34"/>
    </row>
    <row r="643" spans="10:10" x14ac:dyDescent="0.25">
      <c r="J643" s="34"/>
    </row>
    <row r="644" spans="10:10" x14ac:dyDescent="0.25">
      <c r="J644" s="34"/>
    </row>
    <row r="645" spans="10:10" x14ac:dyDescent="0.25">
      <c r="J645" s="34"/>
    </row>
    <row r="646" spans="10:10" x14ac:dyDescent="0.25">
      <c r="J646" s="34"/>
    </row>
    <row r="647" spans="10:10" x14ac:dyDescent="0.25">
      <c r="J647" s="34"/>
    </row>
    <row r="648" spans="10:10" x14ac:dyDescent="0.25">
      <c r="J648" s="34"/>
    </row>
    <row r="649" spans="10:10" x14ac:dyDescent="0.25">
      <c r="J649" s="34"/>
    </row>
    <row r="650" spans="10:10" x14ac:dyDescent="0.25">
      <c r="J650" s="34"/>
    </row>
    <row r="651" spans="10:10" x14ac:dyDescent="0.25">
      <c r="J651" s="34"/>
    </row>
    <row r="652" spans="10:10" x14ac:dyDescent="0.25">
      <c r="J652" s="34"/>
    </row>
    <row r="653" spans="10:10" x14ac:dyDescent="0.25">
      <c r="J653" s="34"/>
    </row>
    <row r="654" spans="10:10" x14ac:dyDescent="0.25">
      <c r="J654" s="34"/>
    </row>
    <row r="655" spans="10:10" x14ac:dyDescent="0.25">
      <c r="J655" s="34"/>
    </row>
    <row r="656" spans="10:10" x14ac:dyDescent="0.25">
      <c r="J656" s="34"/>
    </row>
    <row r="657" spans="10:10" x14ac:dyDescent="0.25">
      <c r="J657" s="34"/>
    </row>
    <row r="658" spans="10:10" x14ac:dyDescent="0.25">
      <c r="J658" s="34"/>
    </row>
    <row r="659" spans="10:10" x14ac:dyDescent="0.25">
      <c r="J659" s="34"/>
    </row>
    <row r="660" spans="10:10" x14ac:dyDescent="0.25">
      <c r="J660" s="34"/>
    </row>
    <row r="661" spans="10:10" x14ac:dyDescent="0.25">
      <c r="J661" s="34"/>
    </row>
    <row r="662" spans="10:10" x14ac:dyDescent="0.25">
      <c r="J662" s="34"/>
    </row>
    <row r="663" spans="10:10" x14ac:dyDescent="0.25">
      <c r="J663" s="34"/>
    </row>
    <row r="664" spans="10:10" x14ac:dyDescent="0.25">
      <c r="J664" s="34"/>
    </row>
    <row r="665" spans="10:10" x14ac:dyDescent="0.25">
      <c r="J665" s="34"/>
    </row>
    <row r="666" spans="10:10" x14ac:dyDescent="0.25">
      <c r="J666" s="34"/>
    </row>
    <row r="667" spans="10:10" x14ac:dyDescent="0.25">
      <c r="J667" s="34"/>
    </row>
    <row r="668" spans="10:10" x14ac:dyDescent="0.25">
      <c r="J668" s="34"/>
    </row>
    <row r="669" spans="10:10" x14ac:dyDescent="0.25">
      <c r="J669" s="34"/>
    </row>
    <row r="670" spans="10:10" x14ac:dyDescent="0.25">
      <c r="J670" s="34"/>
    </row>
    <row r="671" spans="10:10" x14ac:dyDescent="0.25">
      <c r="J671" s="34"/>
    </row>
    <row r="672" spans="10:10" x14ac:dyDescent="0.25">
      <c r="J672" s="34"/>
    </row>
    <row r="673" spans="10:10" x14ac:dyDescent="0.25">
      <c r="J673" s="34"/>
    </row>
    <row r="674" spans="10:10" x14ac:dyDescent="0.25">
      <c r="J674" s="34"/>
    </row>
    <row r="675" spans="10:10" x14ac:dyDescent="0.25">
      <c r="J675" s="34"/>
    </row>
    <row r="676" spans="10:10" x14ac:dyDescent="0.25">
      <c r="J676" s="34"/>
    </row>
    <row r="677" spans="10:10" x14ac:dyDescent="0.25">
      <c r="J677" s="34"/>
    </row>
    <row r="678" spans="10:10" x14ac:dyDescent="0.25">
      <c r="J678" s="34"/>
    </row>
    <row r="679" spans="10:10" x14ac:dyDescent="0.25">
      <c r="J679" s="34"/>
    </row>
    <row r="680" spans="10:10" x14ac:dyDescent="0.25">
      <c r="J680" s="34"/>
    </row>
    <row r="681" spans="10:10" x14ac:dyDescent="0.25">
      <c r="J681" s="34"/>
    </row>
    <row r="682" spans="10:10" x14ac:dyDescent="0.25">
      <c r="J682" s="34"/>
    </row>
    <row r="683" spans="10:10" x14ac:dyDescent="0.25">
      <c r="J683" s="34"/>
    </row>
    <row r="684" spans="10:10" x14ac:dyDescent="0.25">
      <c r="J684" s="34"/>
    </row>
    <row r="685" spans="10:10" x14ac:dyDescent="0.25">
      <c r="J685" s="34"/>
    </row>
    <row r="686" spans="10:10" x14ac:dyDescent="0.25">
      <c r="J686" s="34"/>
    </row>
    <row r="687" spans="10:10" x14ac:dyDescent="0.25">
      <c r="J687" s="34"/>
    </row>
    <row r="688" spans="10:10" x14ac:dyDescent="0.25">
      <c r="J688" s="34"/>
    </row>
    <row r="689" spans="10:10" x14ac:dyDescent="0.25">
      <c r="J689" s="34"/>
    </row>
    <row r="690" spans="10:10" x14ac:dyDescent="0.25">
      <c r="J690" s="34"/>
    </row>
    <row r="691" spans="10:10" x14ac:dyDescent="0.25">
      <c r="J691" s="34"/>
    </row>
    <row r="692" spans="10:10" x14ac:dyDescent="0.25">
      <c r="J692" s="34"/>
    </row>
    <row r="693" spans="10:10" x14ac:dyDescent="0.25">
      <c r="J693" s="34"/>
    </row>
    <row r="694" spans="10:10" x14ac:dyDescent="0.25">
      <c r="J694" s="34"/>
    </row>
    <row r="695" spans="10:10" x14ac:dyDescent="0.25">
      <c r="J695" s="34"/>
    </row>
    <row r="696" spans="10:10" x14ac:dyDescent="0.25">
      <c r="J696" s="34"/>
    </row>
    <row r="697" spans="10:10" x14ac:dyDescent="0.25">
      <c r="J697" s="34"/>
    </row>
    <row r="698" spans="10:10" x14ac:dyDescent="0.25">
      <c r="J698" s="34"/>
    </row>
    <row r="699" spans="10:10" x14ac:dyDescent="0.25">
      <c r="J699" s="34"/>
    </row>
    <row r="700" spans="10:10" x14ac:dyDescent="0.25">
      <c r="J700" s="34"/>
    </row>
    <row r="701" spans="10:10" x14ac:dyDescent="0.25">
      <c r="J701" s="34"/>
    </row>
    <row r="702" spans="10:10" x14ac:dyDescent="0.25">
      <c r="J702" s="34"/>
    </row>
    <row r="703" spans="10:10" x14ac:dyDescent="0.25">
      <c r="J703" s="34"/>
    </row>
    <row r="704" spans="10:10" x14ac:dyDescent="0.25">
      <c r="J704" s="34"/>
    </row>
    <row r="705" spans="10:10" x14ac:dyDescent="0.25">
      <c r="J705" s="34"/>
    </row>
    <row r="706" spans="10:10" x14ac:dyDescent="0.25">
      <c r="J706" s="34"/>
    </row>
    <row r="707" spans="10:10" x14ac:dyDescent="0.25">
      <c r="J707" s="34"/>
    </row>
    <row r="708" spans="10:10" x14ac:dyDescent="0.25">
      <c r="J708" s="34"/>
    </row>
    <row r="709" spans="10:10" x14ac:dyDescent="0.25">
      <c r="J709" s="34"/>
    </row>
    <row r="710" spans="10:10" x14ac:dyDescent="0.25">
      <c r="J710" s="34"/>
    </row>
    <row r="711" spans="10:10" x14ac:dyDescent="0.25">
      <c r="J711" s="34"/>
    </row>
    <row r="712" spans="10:10" x14ac:dyDescent="0.25">
      <c r="J712" s="34"/>
    </row>
    <row r="713" spans="10:10" x14ac:dyDescent="0.25">
      <c r="J713" s="34"/>
    </row>
    <row r="714" spans="10:10" x14ac:dyDescent="0.25">
      <c r="J714" s="34"/>
    </row>
    <row r="715" spans="10:10" x14ac:dyDescent="0.25">
      <c r="J715" s="34"/>
    </row>
    <row r="716" spans="10:10" x14ac:dyDescent="0.25">
      <c r="J716" s="34"/>
    </row>
    <row r="717" spans="10:10" x14ac:dyDescent="0.25">
      <c r="J717" s="34"/>
    </row>
    <row r="718" spans="10:10" x14ac:dyDescent="0.25">
      <c r="J718" s="34"/>
    </row>
    <row r="719" spans="10:10" x14ac:dyDescent="0.25">
      <c r="J719" s="34"/>
    </row>
    <row r="720" spans="10:10" x14ac:dyDescent="0.25">
      <c r="J720" s="34"/>
    </row>
    <row r="721" spans="10:10" x14ac:dyDescent="0.25">
      <c r="J721" s="34"/>
    </row>
    <row r="722" spans="10:10" x14ac:dyDescent="0.25">
      <c r="J722" s="34"/>
    </row>
    <row r="723" spans="10:10" x14ac:dyDescent="0.25">
      <c r="J723" s="34"/>
    </row>
    <row r="724" spans="10:10" x14ac:dyDescent="0.25">
      <c r="J724" s="34"/>
    </row>
    <row r="725" spans="10:10" x14ac:dyDescent="0.25">
      <c r="J725" s="34"/>
    </row>
    <row r="726" spans="10:10" x14ac:dyDescent="0.25">
      <c r="J726" s="34"/>
    </row>
    <row r="727" spans="10:10" x14ac:dyDescent="0.25">
      <c r="J727" s="34"/>
    </row>
    <row r="728" spans="10:10" x14ac:dyDescent="0.25">
      <c r="J728" s="34"/>
    </row>
    <row r="729" spans="10:10" x14ac:dyDescent="0.25">
      <c r="J729" s="34"/>
    </row>
    <row r="730" spans="10:10" x14ac:dyDescent="0.25">
      <c r="J730" s="34"/>
    </row>
    <row r="731" spans="10:10" x14ac:dyDescent="0.25">
      <c r="J731" s="34"/>
    </row>
    <row r="732" spans="10:10" x14ac:dyDescent="0.25">
      <c r="J732" s="34"/>
    </row>
    <row r="733" spans="10:10" x14ac:dyDescent="0.25">
      <c r="J733" s="34"/>
    </row>
    <row r="734" spans="10:10" x14ac:dyDescent="0.25">
      <c r="J734" s="34"/>
    </row>
    <row r="735" spans="10:10" x14ac:dyDescent="0.25">
      <c r="J735" s="34"/>
    </row>
    <row r="736" spans="10:10" x14ac:dyDescent="0.25">
      <c r="J736" s="34"/>
    </row>
    <row r="737" spans="10:10" x14ac:dyDescent="0.25">
      <c r="J737" s="34"/>
    </row>
    <row r="738" spans="10:10" x14ac:dyDescent="0.25">
      <c r="J738" s="34"/>
    </row>
    <row r="739" spans="10:10" x14ac:dyDescent="0.25">
      <c r="J739" s="34"/>
    </row>
    <row r="740" spans="10:10" x14ac:dyDescent="0.25">
      <c r="J740" s="34"/>
    </row>
    <row r="741" spans="10:10" x14ac:dyDescent="0.25">
      <c r="J741" s="34"/>
    </row>
    <row r="742" spans="10:10" x14ac:dyDescent="0.25">
      <c r="J742" s="34"/>
    </row>
    <row r="743" spans="10:10" x14ac:dyDescent="0.25">
      <c r="J743" s="34"/>
    </row>
    <row r="744" spans="10:10" x14ac:dyDescent="0.25">
      <c r="J744" s="34"/>
    </row>
    <row r="745" spans="10:10" x14ac:dyDescent="0.25">
      <c r="J745" s="34"/>
    </row>
    <row r="746" spans="10:10" x14ac:dyDescent="0.25">
      <c r="J746" s="34"/>
    </row>
    <row r="747" spans="10:10" x14ac:dyDescent="0.25">
      <c r="J747" s="34"/>
    </row>
    <row r="748" spans="10:10" x14ac:dyDescent="0.25">
      <c r="J748" s="34"/>
    </row>
    <row r="749" spans="10:10" x14ac:dyDescent="0.25">
      <c r="J749" s="34"/>
    </row>
    <row r="750" spans="10:10" x14ac:dyDescent="0.25">
      <c r="J750" s="34"/>
    </row>
    <row r="751" spans="10:10" x14ac:dyDescent="0.25">
      <c r="J751" s="34"/>
    </row>
    <row r="752" spans="10:10" x14ac:dyDescent="0.25">
      <c r="J752" s="34"/>
    </row>
    <row r="753" spans="10:10" x14ac:dyDescent="0.25">
      <c r="J753" s="3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topLeftCell="A4" zoomScale="115" zoomScaleNormal="115" workbookViewId="0">
      <selection activeCell="B20" sqref="B20"/>
    </sheetView>
  </sheetViews>
  <sheetFormatPr defaultColWidth="20.796875" defaultRowHeight="13.8" x14ac:dyDescent="0.25"/>
  <cols>
    <col min="1" max="3" width="30.796875" style="15" customWidth="1"/>
    <col min="4" max="16384" width="20.796875" style="15"/>
  </cols>
  <sheetData>
    <row r="1" spans="1:3" ht="19.95" customHeight="1" x14ac:dyDescent="0.25">
      <c r="A1" s="23" t="s">
        <v>34</v>
      </c>
    </row>
    <row r="2" spans="1:3" ht="15" x14ac:dyDescent="0.25">
      <c r="A2" s="24" t="s">
        <v>18</v>
      </c>
      <c r="B2" s="25" t="s">
        <v>19</v>
      </c>
      <c r="C2" s="25" t="s">
        <v>23</v>
      </c>
    </row>
    <row r="3" spans="1:3" ht="15" x14ac:dyDescent="0.25">
      <c r="A3" s="24" t="s">
        <v>14</v>
      </c>
      <c r="B3" s="25" t="s">
        <v>20</v>
      </c>
      <c r="C3" s="25" t="s">
        <v>37</v>
      </c>
    </row>
    <row r="4" spans="1:3" ht="15" x14ac:dyDescent="0.25">
      <c r="A4" s="24" t="s">
        <v>15</v>
      </c>
      <c r="B4" s="25" t="s">
        <v>21</v>
      </c>
      <c r="C4" s="25" t="s">
        <v>37</v>
      </c>
    </row>
    <row r="5" spans="1:3" ht="15" x14ac:dyDescent="0.25">
      <c r="A5" s="24" t="s">
        <v>16</v>
      </c>
      <c r="B5" s="25">
        <v>8</v>
      </c>
      <c r="C5" s="25" t="s">
        <v>37</v>
      </c>
    </row>
    <row r="6" spans="1:3" ht="15" x14ac:dyDescent="0.25">
      <c r="A6" s="24" t="s">
        <v>17</v>
      </c>
      <c r="B6" s="25" t="s">
        <v>22</v>
      </c>
      <c r="C6" s="25" t="s">
        <v>37</v>
      </c>
    </row>
    <row r="7" spans="1:3" x14ac:dyDescent="0.25">
      <c r="B7" s="13"/>
      <c r="C7" s="13"/>
    </row>
    <row r="8" spans="1:3" x14ac:dyDescent="0.25">
      <c r="B8" s="13"/>
      <c r="C8" s="13"/>
    </row>
    <row r="9" spans="1:3" ht="19.95" customHeight="1" x14ac:dyDescent="0.25">
      <c r="A9" s="26" t="s">
        <v>35</v>
      </c>
      <c r="B9" s="13"/>
      <c r="C9" s="13"/>
    </row>
    <row r="10" spans="1:3" ht="15" x14ac:dyDescent="0.25">
      <c r="A10" s="24" t="s">
        <v>18</v>
      </c>
      <c r="B10" s="25" t="s">
        <v>19</v>
      </c>
      <c r="C10" s="25" t="s">
        <v>23</v>
      </c>
    </row>
    <row r="11" spans="1:3" ht="15" x14ac:dyDescent="0.25">
      <c r="A11" s="24" t="s">
        <v>24</v>
      </c>
      <c r="B11" s="25">
        <v>32</v>
      </c>
      <c r="C11" s="25" t="s">
        <v>25</v>
      </c>
    </row>
    <row r="12" spans="1:3" ht="15" x14ac:dyDescent="0.25">
      <c r="A12" s="24" t="s">
        <v>26</v>
      </c>
      <c r="B12" s="25">
        <v>4</v>
      </c>
      <c r="C12" s="25" t="s">
        <v>25</v>
      </c>
    </row>
    <row r="13" spans="1:3" ht="15" x14ac:dyDescent="0.25">
      <c r="A13" s="24" t="s">
        <v>27</v>
      </c>
      <c r="B13" s="25">
        <v>5.15</v>
      </c>
      <c r="C13" s="25" t="s">
        <v>25</v>
      </c>
    </row>
    <row r="14" spans="1:3" ht="15" x14ac:dyDescent="0.25">
      <c r="A14" s="24" t="s">
        <v>43</v>
      </c>
      <c r="B14" s="74" t="s">
        <v>212</v>
      </c>
      <c r="C14" s="25" t="s">
        <v>41</v>
      </c>
    </row>
    <row r="15" spans="1:3" ht="15" x14ac:dyDescent="0.25">
      <c r="A15" s="24" t="s">
        <v>42</v>
      </c>
      <c r="B15" s="25">
        <v>0.8</v>
      </c>
      <c r="C15" s="25" t="s">
        <v>25</v>
      </c>
    </row>
    <row r="16" spans="1:3" ht="15" x14ac:dyDescent="0.25">
      <c r="B16" s="25"/>
      <c r="C16" s="25"/>
    </row>
    <row r="17" spans="1:3" ht="15" x14ac:dyDescent="0.25">
      <c r="B17" s="25"/>
      <c r="C17" s="25"/>
    </row>
    <row r="18" spans="1:3" ht="19.95" customHeight="1" x14ac:dyDescent="0.25">
      <c r="A18" s="23" t="s">
        <v>36</v>
      </c>
      <c r="B18" s="13"/>
      <c r="C18" s="13"/>
    </row>
    <row r="19" spans="1:3" ht="15" x14ac:dyDescent="0.25">
      <c r="A19" s="24" t="s">
        <v>18</v>
      </c>
      <c r="B19" s="25" t="s">
        <v>19</v>
      </c>
      <c r="C19" s="25" t="s">
        <v>71</v>
      </c>
    </row>
    <row r="20" spans="1:3" ht="15" x14ac:dyDescent="0.25">
      <c r="A20" s="24" t="s">
        <v>28</v>
      </c>
      <c r="B20" s="80">
        <v>804</v>
      </c>
      <c r="C20" s="25" t="s">
        <v>32</v>
      </c>
    </row>
    <row r="21" spans="1:3" ht="15" x14ac:dyDescent="0.25">
      <c r="A21" s="24" t="s">
        <v>29</v>
      </c>
      <c r="B21" s="25">
        <v>6432</v>
      </c>
      <c r="C21" s="25" t="s">
        <v>32</v>
      </c>
    </row>
    <row r="22" spans="1:3" ht="15" x14ac:dyDescent="0.25">
      <c r="A22" s="24" t="s">
        <v>30</v>
      </c>
      <c r="B22" s="80">
        <v>3216</v>
      </c>
      <c r="C22" s="25" t="s">
        <v>33</v>
      </c>
    </row>
    <row r="23" spans="1:3" ht="15" x14ac:dyDescent="0.25">
      <c r="A23" s="24" t="s">
        <v>31</v>
      </c>
      <c r="B23" s="25">
        <v>25728</v>
      </c>
      <c r="C23" s="25" t="s">
        <v>33</v>
      </c>
    </row>
    <row r="24" spans="1:3" ht="15" x14ac:dyDescent="0.25">
      <c r="A24" s="24"/>
      <c r="B24" s="24"/>
      <c r="C24" s="24"/>
    </row>
    <row r="25" spans="1:3" x14ac:dyDescent="0.25">
      <c r="B25" s="27"/>
    </row>
    <row r="26" spans="1:3" x14ac:dyDescent="0.25">
      <c r="B26" s="27"/>
    </row>
    <row r="27" spans="1:3" ht="15.6" x14ac:dyDescent="0.3">
      <c r="A27" s="28" t="s">
        <v>39</v>
      </c>
      <c r="B27" s="28"/>
    </row>
    <row r="28" spans="1:3" ht="15.6" x14ac:dyDescent="0.3">
      <c r="A28" s="28" t="s">
        <v>40</v>
      </c>
      <c r="B28" s="28"/>
    </row>
    <row r="29" spans="1:3" ht="15.6" x14ac:dyDescent="0.3">
      <c r="A29" s="28" t="s">
        <v>38</v>
      </c>
      <c r="B29" s="2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72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ColWidth="8.8984375" defaultRowHeight="13.8" x14ac:dyDescent="0.25"/>
  <cols>
    <col min="1" max="1" width="37.796875" style="1" customWidth="1"/>
    <col min="2" max="2" width="45.19921875" style="1" customWidth="1"/>
    <col min="3" max="3" width="38.296875" style="1" customWidth="1"/>
    <col min="4" max="4" width="19.8984375" style="1" customWidth="1"/>
    <col min="5" max="5" width="20.69921875" style="52" customWidth="1"/>
    <col min="6" max="6" width="20" style="3" customWidth="1"/>
    <col min="7" max="13" width="20.796875" style="1" customWidth="1"/>
    <col min="14" max="16384" width="8.8984375" style="1"/>
  </cols>
  <sheetData>
    <row r="1" spans="1:6" ht="19.95" customHeight="1" x14ac:dyDescent="0.3">
      <c r="A1" s="5" t="s">
        <v>46</v>
      </c>
      <c r="B1" s="7" t="s">
        <v>47</v>
      </c>
      <c r="C1" s="5" t="s">
        <v>48</v>
      </c>
      <c r="D1" s="6" t="s">
        <v>49</v>
      </c>
      <c r="E1" s="53" t="s">
        <v>50</v>
      </c>
      <c r="F1" s="6" t="s">
        <v>51</v>
      </c>
    </row>
    <row r="2" spans="1:6" ht="19.95" customHeight="1" x14ac:dyDescent="0.25">
      <c r="A2" s="32">
        <f>((('Raw data'!B2+'Raw data'!D2)/24)*('Raw data'!G2/1000))/'plant information'!$B$20</f>
        <v>1.6965584577114428</v>
      </c>
      <c r="B2" s="33">
        <f>'Raw data'!B2/'plant information'!$B$20</f>
        <v>14.021144278606965</v>
      </c>
      <c r="C2" s="33">
        <f>('plant information'!$B$22/('Raw data'!B2+'Raw data'!D2))*24</f>
        <v>4.2792513084360859</v>
      </c>
      <c r="D2" s="33">
        <f>('Raw data'!M2-'Raw data'!N2)*100/'Raw data'!M2</f>
        <v>92.142857142857139</v>
      </c>
      <c r="E2" s="51">
        <f>('Raw data'!O2-'Raw data'!P2)*100/'Raw data'!O2</f>
        <v>90.2</v>
      </c>
      <c r="F2" s="3">
        <f>('Raw data'!Q2-'Raw data'!R2)*100/'Raw data'!Q2</f>
        <v>96</v>
      </c>
    </row>
    <row r="3" spans="1:6" ht="19.95" customHeight="1" x14ac:dyDescent="0.25">
      <c r="A3" s="32">
        <f>((('Raw data'!B3+'Raw data'!D3)/24)*('Raw data'!G3/1000))/'plant information'!$B$20</f>
        <v>1.7105796019900499</v>
      </c>
      <c r="B3" s="33">
        <f>'Raw data'!B3/'plant information'!$B$20</f>
        <v>14.021144278606965</v>
      </c>
      <c r="C3" s="33">
        <f>('plant information'!$B$22/('Raw data'!B3+'Raw data'!D3))*24</f>
        <v>4.2792513084360859</v>
      </c>
      <c r="D3" s="33">
        <f>('Raw data'!M3-'Raw data'!N3)*100/'Raw data'!M3</f>
        <v>92.307692307692307</v>
      </c>
      <c r="E3" s="51">
        <f>('Raw data'!O3-'Raw data'!P3)*100/'Raw data'!O3</f>
        <v>93.75</v>
      </c>
      <c r="F3" s="37">
        <f>('Raw data'!Q3-'Raw data'!R3)*100/'Raw data'!Q3</f>
        <v>96.854838709677423</v>
      </c>
    </row>
    <row r="4" spans="1:6" ht="19.95" customHeight="1" x14ac:dyDescent="0.25">
      <c r="A4" s="32">
        <f>((('Raw data'!B4+'Raw data'!D4)/24)*('Raw data'!G4/1000))/'plant information'!$B$20</f>
        <v>1.71343631840796</v>
      </c>
      <c r="B4" s="33">
        <f>'Raw data'!B4/'plant information'!$B$20</f>
        <v>14.052238805970148</v>
      </c>
      <c r="C4" s="33">
        <f>('plant information'!$B$22/('Raw data'!B4+'Raw data'!D4))*24</f>
        <v>4.2697822623473183</v>
      </c>
      <c r="D4" s="33">
        <f>('Raw data'!M4-'Raw data'!N4)*100/'Raw data'!M4</f>
        <v>94.552238805970148</v>
      </c>
      <c r="E4" s="51">
        <f>('Raw data'!O4-'Raw data'!P4)*100/'Raw data'!O4</f>
        <v>92.875</v>
      </c>
      <c r="F4" s="37">
        <f>('Raw data'!Q4-'Raw data'!R4)*100/'Raw data'!Q4</f>
        <v>97.628458498023718</v>
      </c>
    </row>
    <row r="5" spans="1:6" ht="19.95" customHeight="1" x14ac:dyDescent="0.25">
      <c r="A5" s="32">
        <f>((('Raw data'!B5+'Raw data'!D5)/24)*('Raw data'!G5/1000))/'plant information'!$B$20</f>
        <v>1.706179767827529</v>
      </c>
      <c r="B5" s="33">
        <f>'Raw data'!B5/'plant information'!$B$20</f>
        <v>14.069651741293532</v>
      </c>
      <c r="C5" s="33">
        <f>('plant information'!$B$22/('Raw data'!B5+'Raw data'!D5))*24</f>
        <v>4.264497878359264</v>
      </c>
      <c r="D5" s="33">
        <f>('Raw data'!M5-'Raw data'!N5)*100/'Raw data'!M5</f>
        <v>91</v>
      </c>
      <c r="E5" s="51">
        <f>('Raw data'!O5-'Raw data'!P5)*100/'Raw data'!O5</f>
        <v>91.6</v>
      </c>
      <c r="F5" s="37">
        <f>('Raw data'!Q5-'Raw data'!R5)*100/'Raw data'!Q5</f>
        <v>96.015936254980076</v>
      </c>
    </row>
    <row r="6" spans="1:6" ht="19.95" customHeight="1" x14ac:dyDescent="0.25">
      <c r="A6" s="32">
        <f>((('Raw data'!B6+'Raw data'!D6)/24)*('Raw data'!G6/1000))/'plant information'!$B$20</f>
        <v>1.6975791044776118</v>
      </c>
      <c r="B6" s="33">
        <f>'Raw data'!B6/'plant information'!$B$20</f>
        <v>14.037313432835822</v>
      </c>
      <c r="C6" s="33">
        <f>('plant information'!$B$22/('Raw data'!B6+'Raw data'!D6))*24</f>
        <v>4.2743221690590119</v>
      </c>
      <c r="D6" s="33">
        <f>('Raw data'!M6-'Raw data'!N6)*100/'Raw data'!M6</f>
        <v>90.967741935483872</v>
      </c>
      <c r="E6" s="51">
        <f>('Raw data'!O6-'Raw data'!P6)*100/'Raw data'!O6</f>
        <v>90.615835777126094</v>
      </c>
      <c r="F6" s="37">
        <f>('Raw data'!Q6-'Raw data'!R6)*100/'Raw data'!Q6</f>
        <v>96.138211382113823</v>
      </c>
    </row>
    <row r="7" spans="1:6" ht="19.95" customHeight="1" x14ac:dyDescent="0.25">
      <c r="A7" s="32">
        <f>((('Raw data'!B7+'Raw data'!D7)/24)*('Raw data'!G7/1000))/'plant information'!$B$20</f>
        <v>1.7165756218905472</v>
      </c>
      <c r="B7" s="33">
        <f>'Raw data'!B7/'plant information'!$B$20</f>
        <v>14.047263681592041</v>
      </c>
      <c r="C7" s="33">
        <f>('plant information'!$B$22/('Raw data'!B7+'Raw data'!D7))*24</f>
        <v>4.2712944926509646</v>
      </c>
      <c r="D7" s="33">
        <f>('Raw data'!M7-'Raw data'!N7)*100/'Raw data'!M7</f>
        <v>95.625</v>
      </c>
      <c r="E7" s="51">
        <f>('Raw data'!O7-'Raw data'!P7)*100/'Raw data'!O7</f>
        <v>95.138888888888886</v>
      </c>
      <c r="F7" s="37">
        <f>('Raw data'!Q7-'Raw data'!R7)*100/'Raw data'!Q7</f>
        <v>96</v>
      </c>
    </row>
    <row r="8" spans="1:6" ht="19.95" customHeight="1" x14ac:dyDescent="0.25">
      <c r="A8" s="32">
        <f>((('Raw data'!B8+'Raw data'!D8)/24)*('Raw data'!G8/1000))/'plant information'!$B$20</f>
        <v>1.7247425373134329</v>
      </c>
      <c r="B8" s="33">
        <f>'Raw data'!B8/'plant information'!$B$20</f>
        <v>14.16044776119403</v>
      </c>
      <c r="C8" s="33">
        <f>('plant information'!$B$22/('Raw data'!B8+'Raw data'!D8))*24</f>
        <v>4.237154150197628</v>
      </c>
      <c r="D8" s="33">
        <f>('Raw data'!M8-'Raw data'!N8)*100/'Raw data'!M8</f>
        <v>91.525423728813564</v>
      </c>
      <c r="E8" s="51">
        <f>('Raw data'!O8-'Raw data'!P8)*100/'Raw data'!O8</f>
        <v>92.1</v>
      </c>
      <c r="F8" s="37">
        <f>('Raw data'!Q8-'Raw data'!R8)*100/'Raw data'!Q8</f>
        <v>96.506024096385545</v>
      </c>
    </row>
    <row r="9" spans="1:6" ht="19.95" customHeight="1" x14ac:dyDescent="0.25">
      <c r="A9" s="32">
        <f>((('Raw data'!B9+'Raw data'!D9)/24)*('Raw data'!G9/1000))/'plant information'!$B$20</f>
        <v>1.73799087893864</v>
      </c>
      <c r="B9" s="33">
        <f>'Raw data'!B9/'plant information'!$B$20</f>
        <v>14.191542288557214</v>
      </c>
      <c r="C9" s="33">
        <f>('plant information'!$B$22/('Raw data'!B9+'Raw data'!D9))*24</f>
        <v>4.2278702892199824</v>
      </c>
      <c r="D9" s="33">
        <f>('Raw data'!M9-'Raw data'!N9)*100/'Raw data'!M9</f>
        <v>90.972222222222229</v>
      </c>
      <c r="E9" s="51">
        <f>('Raw data'!O9-'Raw data'!P9)*100/'Raw data'!O9</f>
        <v>92.78</v>
      </c>
      <c r="F9" s="37">
        <f>('Raw data'!Q9-'Raw data'!R9)*100/'Raw data'!Q9</f>
        <v>96.031746031746039</v>
      </c>
    </row>
    <row r="10" spans="1:6" ht="19.95" customHeight="1" x14ac:dyDescent="0.25">
      <c r="A10" s="32">
        <f>((('Raw data'!B10+'Raw data'!D10)/24)*('Raw data'!G10/1000))/'plant information'!$B$20</f>
        <v>1.7761557213930348</v>
      </c>
      <c r="B10" s="33">
        <f>'Raw data'!B10/'plant information'!$B$20</f>
        <v>14.534825870646767</v>
      </c>
      <c r="C10" s="33">
        <f>('plant information'!$B$22/('Raw data'!B10+'Raw data'!D10))*24</f>
        <v>4.1280164299161388</v>
      </c>
      <c r="D10" s="33">
        <f>('Raw data'!M10-'Raw data'!N10)*100/'Raw data'!M10</f>
        <v>91.233766233766232</v>
      </c>
      <c r="E10" s="51">
        <f>('Raw data'!O10-'Raw data'!P10)*100/'Raw data'!O10</f>
        <v>92.692307692307693</v>
      </c>
      <c r="F10" s="37">
        <f>('Raw data'!Q10-'Raw data'!R10)*100/'Raw data'!Q10</f>
        <v>96.566666666666663</v>
      </c>
    </row>
    <row r="11" spans="1:6" ht="19.95" customHeight="1" x14ac:dyDescent="0.25">
      <c r="A11" s="32">
        <f>((('Raw data'!B11+'Raw data'!D11)/24)*('Raw data'!G11/1000))/'plant information'!$B$20</f>
        <v>1.7678459369817576</v>
      </c>
      <c r="B11" s="33">
        <f>'Raw data'!B11/'plant information'!$B$20</f>
        <v>14.435323383084578</v>
      </c>
      <c r="C11" s="33">
        <f>('plant information'!$B$22/('Raw data'!B11+'Raw data'!D11))*24</f>
        <v>4.1564707909701886</v>
      </c>
      <c r="D11" s="33">
        <f>('Raw data'!M11-'Raw data'!N11)*100/'Raw data'!M11</f>
        <v>94.705882352941174</v>
      </c>
      <c r="E11" s="51">
        <f>('Raw data'!O11-'Raw data'!P11)*100/'Raw data'!O11</f>
        <v>95.18518518518519</v>
      </c>
      <c r="F11" s="3">
        <f>('Raw data'!Q11-'Raw data'!R11)*100/'Raw data'!Q11</f>
        <v>96.8</v>
      </c>
    </row>
    <row r="12" spans="1:6" ht="19.95" customHeight="1" x14ac:dyDescent="0.25">
      <c r="A12" s="32">
        <f>((('Raw data'!B12+'Raw data'!D12)/24)*('Raw data'!G12/1000))/'plant information'!$B$20</f>
        <v>1.7714358208955225</v>
      </c>
      <c r="B12" s="33">
        <f>'Raw data'!B12/'plant information'!$B$20</f>
        <v>14.425373134328359</v>
      </c>
      <c r="C12" s="33">
        <f>('plant information'!$B$22/('Raw data'!B12+'Raw data'!D12))*24</f>
        <v>4.1593378168649773</v>
      </c>
      <c r="D12" s="33">
        <f>('Raw data'!M12-'Raw data'!N12)*100/'Raw data'!M12</f>
        <v>94.370370370370367</v>
      </c>
      <c r="E12" s="51">
        <f>('Raw data'!O12-'Raw data'!P12)*100/'Raw data'!O12</f>
        <v>93.181818181818187</v>
      </c>
      <c r="F12" s="37">
        <f>('Raw data'!Q12-'Raw data'!R12)*100/'Raw data'!Q12</f>
        <v>95.833333333333329</v>
      </c>
    </row>
    <row r="13" spans="1:6" ht="19.95" customHeight="1" x14ac:dyDescent="0.25">
      <c r="A13" s="32">
        <f>((('Raw data'!B13+'Raw data'!D13)/24)*('Raw data'!G13/1000))/'plant information'!$B$20</f>
        <v>1.7427353233830849</v>
      </c>
      <c r="B13" s="33">
        <f>'Raw data'!B13/'plant information'!$B$20</f>
        <v>14.426616915422885</v>
      </c>
      <c r="C13" s="33">
        <f>('plant information'!$B$22/('Raw data'!B13+'Raw data'!D13))*24</f>
        <v>4.1589792223467539</v>
      </c>
      <c r="D13" s="33">
        <f>('Raw data'!M13-'Raw data'!N13)*100/'Raw data'!M13</f>
        <v>92.644628099173559</v>
      </c>
      <c r="E13" s="51">
        <f>('Raw data'!O13-'Raw data'!P13)*100/'Raw data'!O13</f>
        <v>92</v>
      </c>
      <c r="F13" s="37">
        <f>('Raw data'!Q13-'Raw data'!R13)*100/'Raw data'!Q13</f>
        <v>96.897959183673464</v>
      </c>
    </row>
    <row r="14" spans="1:6" ht="19.95" customHeight="1" x14ac:dyDescent="0.25">
      <c r="A14" s="32">
        <f>((('Raw data'!B14+'Raw data'!D14)/24)*('Raw data'!G14/1000))/'plant information'!$B$20</f>
        <v>1.7927224709784408</v>
      </c>
      <c r="B14" s="33">
        <f>'Raw data'!B14/'plant information'!$B$20</f>
        <v>14.590796019900498</v>
      </c>
      <c r="C14" s="33">
        <f>('plant information'!$B$22/('Raw data'!B14+'Raw data'!D14))*24</f>
        <v>4.1121813997101695</v>
      </c>
      <c r="D14" s="33">
        <f>('Raw data'!M14-'Raw data'!N14)*100/'Raw data'!M14</f>
        <v>94.790419161676652</v>
      </c>
      <c r="E14" s="51">
        <f>('Raw data'!O14-'Raw data'!P14)*100/'Raw data'!O14</f>
        <v>93.302325581395351</v>
      </c>
      <c r="F14" s="37">
        <f>('Raw data'!Q14-'Raw data'!R14)*100/'Raw data'!Q14</f>
        <v>95.714285714285708</v>
      </c>
    </row>
    <row r="15" spans="1:6" ht="19.95" customHeight="1" x14ac:dyDescent="0.25">
      <c r="A15" s="32">
        <f>((('Raw data'!B15+'Raw data'!D15)/24)*('Raw data'!G15/1000))/'plant information'!$B$20</f>
        <v>1.763106135986733</v>
      </c>
      <c r="B15" s="33">
        <f>'Raw data'!B15/'plant information'!$B$20</f>
        <v>14.531094527363184</v>
      </c>
      <c r="C15" s="33">
        <f>('plant information'!$B$22/('Raw data'!B15+'Raw data'!D15))*24</f>
        <v>4.1290764358469572</v>
      </c>
      <c r="D15" s="33">
        <f>('Raw data'!M15-'Raw data'!N15)*100/'Raw data'!M15</f>
        <v>91.5625</v>
      </c>
      <c r="E15" s="51">
        <f>('Raw data'!O15-'Raw data'!P15)*100/'Raw data'!O15</f>
        <v>87.942857142857136</v>
      </c>
      <c r="F15" s="37">
        <f>('Raw data'!Q15-'Raw data'!R15)*100/'Raw data'!Q15</f>
        <v>95.887096774193552</v>
      </c>
    </row>
    <row r="16" spans="1:6" ht="19.95" customHeight="1" x14ac:dyDescent="0.25">
      <c r="A16" s="32">
        <f>((('Raw data'!B16+'Raw data'!D16)/24)*('Raw data'!G16/1000))/'plant information'!$B$20</f>
        <v>1.774467661691542</v>
      </c>
      <c r="B16" s="33">
        <f>'Raw data'!B16/'plant information'!$B$20</f>
        <v>14.746268656716419</v>
      </c>
      <c r="C16" s="33">
        <f>('plant information'!$B$22/('Raw data'!B16+'Raw data'!D16))*24</f>
        <v>4.0688259109311744</v>
      </c>
      <c r="D16" s="33">
        <f>('Raw data'!M16-'Raw data'!N16)*100/'Raw data'!M16</f>
        <v>92.073170731707322</v>
      </c>
      <c r="E16" s="51">
        <f>('Raw data'!O16-'Raw data'!P16)*100/'Raw data'!O16</f>
        <v>91.521739130434781</v>
      </c>
      <c r="F16" s="37">
        <f>('Raw data'!Q16-'Raw data'!R16)*100/'Raw data'!Q16</f>
        <v>96.774193548387103</v>
      </c>
    </row>
    <row r="17" spans="1:6" ht="19.95" customHeight="1" x14ac:dyDescent="0.25">
      <c r="A17" s="32">
        <f>((('Raw data'!B17+'Raw data'!D17)/24)*('Raw data'!G17/1000))/'plant information'!$B$20</f>
        <v>1.7672835820895518</v>
      </c>
      <c r="B17" s="33">
        <f>'Raw data'!B17/'plant information'!$B$20</f>
        <v>14.686567164179104</v>
      </c>
      <c r="C17" s="33">
        <f>('plant information'!$B$22/('Raw data'!B17+'Raw data'!D17))*24</f>
        <v>4.0853658536585371</v>
      </c>
      <c r="D17" s="33">
        <f>('Raw data'!M17-'Raw data'!N17)*100/'Raw data'!M17</f>
        <v>93.430656934306569</v>
      </c>
      <c r="E17" s="51">
        <f>('Raw data'!O17-'Raw data'!P17)*100/'Raw data'!O17</f>
        <v>94.673469387755105</v>
      </c>
      <c r="F17" s="37">
        <f>('Raw data'!Q17-'Raw data'!R17)*100/'Raw data'!Q17</f>
        <v>96.747967479674799</v>
      </c>
    </row>
    <row r="18" spans="1:6" ht="19.95" customHeight="1" x14ac:dyDescent="0.25">
      <c r="A18" s="32">
        <f>((('Raw data'!B18+'Raw data'!D18)/24)*('Raw data'!G18/1000))/'plant information'!$B$20</f>
        <v>1.7781824212271975</v>
      </c>
      <c r="B18" s="33">
        <f>'Raw data'!B18/'plant information'!$B$20</f>
        <v>14.7363184079602</v>
      </c>
      <c r="C18" s="33">
        <f>('plant information'!$B$22/('Raw data'!B18+'Raw data'!D18))*24</f>
        <v>4.0715732613099256</v>
      </c>
      <c r="D18" s="33">
        <f>('Raw data'!M18-'Raw data'!N18)*100/'Raw data'!M18</f>
        <v>91.071428571428569</v>
      </c>
      <c r="E18" s="51">
        <f>('Raw data'!O18-'Raw data'!P18)*100/'Raw data'!O18</f>
        <v>91.4</v>
      </c>
      <c r="F18" s="37">
        <f>('Raw data'!Q18-'Raw data'!R18)*100/'Raw data'!Q18</f>
        <v>96.141732283464563</v>
      </c>
    </row>
    <row r="19" spans="1:6" ht="19.95" customHeight="1" x14ac:dyDescent="0.25">
      <c r="A19" s="32">
        <f>((('Raw data'!B19+'Raw data'!D19)/24)*('Raw data'!G19/1000))/'plant information'!$B$20</f>
        <v>1.787251439676617</v>
      </c>
      <c r="B19" s="33">
        <f>'Raw data'!B19/'plant information'!$B$20</f>
        <v>14.762437810945274</v>
      </c>
      <c r="C19" s="33">
        <f>('plant information'!$B$22/('Raw data'!B19+'Raw data'!D19))*24</f>
        <v>4.1158170790624649</v>
      </c>
      <c r="D19" s="33">
        <f>('Raw data'!M19-'Raw data'!N19)*100/'Raw data'!M19</f>
        <v>91.666666666666671</v>
      </c>
      <c r="E19" s="51">
        <f>('Raw data'!O19-'Raw data'!P19)*100/'Raw data'!O19</f>
        <v>93.023255813953483</v>
      </c>
      <c r="F19" s="3">
        <f>('Raw data'!Q19-'Raw data'!R19)*100/'Raw data'!Q19</f>
        <v>97.200000000000017</v>
      </c>
    </row>
    <row r="20" spans="1:6" ht="19.95" customHeight="1" x14ac:dyDescent="0.25">
      <c r="A20" s="32">
        <f>((('Raw data'!B20+'Raw data'!D20)/24)*('Raw data'!G20/1000))/'plant information'!$B$20</f>
        <v>1.7622920087064675</v>
      </c>
      <c r="B20" s="33">
        <f>'Raw data'!B20/'plant information'!$B$20</f>
        <v>14.748756218905474</v>
      </c>
      <c r="C20" s="33">
        <f>('plant information'!$B$22/('Raw data'!B20+'Raw data'!D20))*24</f>
        <v>4.1196350911951765</v>
      </c>
      <c r="D20" s="33">
        <f>('Raw data'!M20-'Raw data'!N20)*100/'Raw data'!M20</f>
        <v>90.07633587786259</v>
      </c>
      <c r="E20" s="51">
        <f>('Raw data'!O20-'Raw data'!P20)*100/'Raw data'!O20</f>
        <v>92</v>
      </c>
      <c r="F20" s="37">
        <f>('Raw data'!Q20-'Raw data'!R20)*100/'Raw data'!Q20</f>
        <v>96.761133603238861</v>
      </c>
    </row>
    <row r="21" spans="1:6" ht="19.95" customHeight="1" x14ac:dyDescent="0.25">
      <c r="A21" s="32">
        <f>((('Raw data'!B21+'Raw data'!D21)/24)*('Raw data'!G21/1000))/'plant information'!$B$20</f>
        <v>1.7563321268656717</v>
      </c>
      <c r="B21" s="33">
        <f>'Raw data'!B21/'plant information'!$B$20</f>
        <v>14.73134328358209</v>
      </c>
      <c r="C21" s="33">
        <f>('plant information'!$B$22/('Raw data'!B21+'Raw data'!D21))*24</f>
        <v>4.1245046362202302</v>
      </c>
      <c r="D21" s="33">
        <f>('Raw data'!M21-'Raw data'!N21)*100/'Raw data'!M21</f>
        <v>94.583333333333329</v>
      </c>
      <c r="E21" s="51">
        <f>('Raw data'!O21-'Raw data'!P21)*100/'Raw data'!O21</f>
        <v>94</v>
      </c>
      <c r="F21" s="37">
        <f>('Raw data'!Q21-'Raw data'!R21)*100/'Raw data'!Q21</f>
        <v>97.549407114624501</v>
      </c>
    </row>
    <row r="22" spans="1:6" ht="19.95" customHeight="1" x14ac:dyDescent="0.25">
      <c r="A22" s="32">
        <f>((('Raw data'!B22+'Raw data'!D22)/24)*('Raw data'!G22/1000))/'plant information'!$B$20</f>
        <v>1.7764715588723052</v>
      </c>
      <c r="B22" s="33">
        <f>'Raw data'!B22/'plant information'!$B$20</f>
        <v>14.66542288557214</v>
      </c>
      <c r="C22" s="33">
        <f>('plant information'!$B$22/('Raw data'!B22+'Raw data'!D22))*24</f>
        <v>4.143044093918447</v>
      </c>
      <c r="D22" s="33">
        <f>('Raw data'!M22-'Raw data'!N22)*100/'Raw data'!M22</f>
        <v>90.163934426229503</v>
      </c>
      <c r="E22" s="51">
        <f>('Raw data'!O22-'Raw data'!P22)*100/'Raw data'!O22</f>
        <v>93.527204502814257</v>
      </c>
      <c r="F22" s="37">
        <f>('Raw data'!Q22-'Raw data'!R22)*100/'Raw data'!Q22</f>
        <v>97.333333333333329</v>
      </c>
    </row>
    <row r="23" spans="1:6" ht="19.95" customHeight="1" x14ac:dyDescent="0.25">
      <c r="A23" s="32">
        <f>((('Raw data'!B23+'Raw data'!D23)/24)*('Raw data'!G23/1000))/'plant information'!$B$20</f>
        <v>1.7598150704809286</v>
      </c>
      <c r="B23" s="33">
        <f>'Raw data'!B23/'plant information'!$B$20</f>
        <v>14.639303482587065</v>
      </c>
      <c r="C23" s="33">
        <f>('plant information'!$B$22/('Raw data'!B23+'Raw data'!D23))*24</f>
        <v>4.1504361012228044</v>
      </c>
      <c r="D23" s="33">
        <f>('Raw data'!M23-'Raw data'!N23)*100/'Raw data'!M23</f>
        <v>90.039840637450197</v>
      </c>
      <c r="E23" s="51">
        <f>('Raw data'!O23-'Raw data'!P23)*100/'Raw data'!O23</f>
        <v>93.584905660377359</v>
      </c>
      <c r="F23" s="37">
        <f>('Raw data'!Q23-'Raw data'!R23)*100/'Raw data'!Q23</f>
        <v>96.192307692307693</v>
      </c>
    </row>
    <row r="24" spans="1:6" ht="19.95" customHeight="1" x14ac:dyDescent="0.25">
      <c r="A24" s="32">
        <f>((('Raw data'!B24+'Raw data'!D24)/24)*('Raw data'!G24/1000))/'plant information'!$B$20</f>
        <v>1.7559738101160864</v>
      </c>
      <c r="B24" s="33">
        <f>'Raw data'!B24/'plant information'!$B$20</f>
        <v>14.703980099502488</v>
      </c>
      <c r="C24" s="33">
        <f>('plant information'!$B$22/('Raw data'!B24+'Raw data'!D24))*24</f>
        <v>4.1321800804764344</v>
      </c>
      <c r="D24" s="33">
        <f>('Raw data'!M24-'Raw data'!N24)*100/'Raw data'!M24</f>
        <v>95.5625</v>
      </c>
      <c r="E24" s="51">
        <f>('Raw data'!O24-'Raw data'!P24)*100/'Raw data'!O24</f>
        <v>94.339622641509436</v>
      </c>
      <c r="F24" s="37">
        <f>('Raw data'!Q24-'Raw data'!R24)*100/'Raw data'!Q24</f>
        <v>97.301587301587304</v>
      </c>
    </row>
    <row r="25" spans="1:6" ht="19.95" customHeight="1" x14ac:dyDescent="0.25">
      <c r="A25" s="32">
        <f>((('Raw data'!B25+'Raw data'!D25)/24)*('Raw data'!G25/1000))/'plant information'!$B$20</f>
        <v>1.7709559701492541</v>
      </c>
      <c r="B25" s="33">
        <f>'Raw data'!B25/'plant information'!$B$20</f>
        <v>14.651741293532337</v>
      </c>
      <c r="C25" s="33">
        <f>('plant information'!$B$22/('Raw data'!B25+'Raw data'!D25))*24</f>
        <v>4.1469128108142961</v>
      </c>
      <c r="D25" s="33">
        <f>('Raw data'!M25-'Raw data'!N25)*100/'Raw data'!M25</f>
        <v>92</v>
      </c>
      <c r="E25" s="51">
        <f>('Raw data'!O25-'Raw data'!P25)*100/'Raw data'!O25</f>
        <v>93.673469387755105</v>
      </c>
      <c r="F25" s="37">
        <f>('Raw data'!Q25-'Raw data'!R25)*100/'Raw data'!Q25</f>
        <v>97.276422764227647</v>
      </c>
    </row>
    <row r="26" spans="1:6" ht="19.95" customHeight="1" x14ac:dyDescent="0.25">
      <c r="A26" s="32">
        <f>((('Raw data'!B26+'Raw data'!D26)/24)*('Raw data'!G26/1000))/'plant information'!$B$20</f>
        <v>1.747430625</v>
      </c>
      <c r="B26" s="33">
        <f>'Raw data'!B26/'plant information'!$B$20</f>
        <v>14.672885572139304</v>
      </c>
      <c r="C26" s="33">
        <f>('plant information'!$B$22/('Raw data'!B26+'Raw data'!D26))*24</f>
        <v>4.1409369256075612</v>
      </c>
      <c r="D26" s="33">
        <f>('Raw data'!M26-'Raw data'!N26)*100/'Raw data'!M26</f>
        <v>94.354838709677423</v>
      </c>
      <c r="E26" s="51">
        <f>('Raw data'!O26-'Raw data'!P26)*100/'Raw data'!O26</f>
        <v>95.28</v>
      </c>
      <c r="F26" s="3">
        <f>('Raw data'!Q26-'Raw data'!R26)*100/'Raw data'!Q26</f>
        <v>93.6</v>
      </c>
    </row>
    <row r="27" spans="1:6" ht="19.95" customHeight="1" x14ac:dyDescent="0.25">
      <c r="A27" s="32">
        <f>((('Raw data'!B27+'Raw data'!D27)/24)*('Raw data'!G27/1000))/'plant information'!$B$20</f>
        <v>1.7774204104477613</v>
      </c>
      <c r="B27" s="33">
        <f>'Raw data'!B27/'plant information'!$B$20</f>
        <v>14.705223880597014</v>
      </c>
      <c r="C27" s="33">
        <f>('plant information'!$B$22/('Raw data'!B27+'Raw data'!D27))*24</f>
        <v>4.1318305769595201</v>
      </c>
      <c r="D27" s="33">
        <f>('Raw data'!M27-'Raw data'!N27)*100/'Raw data'!M27</f>
        <v>92.372881355932208</v>
      </c>
      <c r="E27" s="51">
        <f>('Raw data'!O27-'Raw data'!P27)*100/'Raw data'!O27</f>
        <v>94.833333333333329</v>
      </c>
      <c r="F27" s="37">
        <f>('Raw data'!Q27-'Raw data'!R27)*100/'Raw data'!Q27</f>
        <v>95.39473684210526</v>
      </c>
    </row>
    <row r="28" spans="1:6" ht="19.95" customHeight="1" x14ac:dyDescent="0.25">
      <c r="A28" s="32">
        <f>((('Raw data'!B28+'Raw data'!D28)/24)*('Raw data'!G28/1000))/'plant information'!$B$20</f>
        <v>1.7730770480928686</v>
      </c>
      <c r="B28" s="33">
        <f>'Raw data'!B28/'plant information'!$B$20</f>
        <v>14.830845771144279</v>
      </c>
      <c r="C28" s="33">
        <f>('plant information'!$B$22/('Raw data'!B28+'Raw data'!D28))*24</f>
        <v>4.0968326829413293</v>
      </c>
      <c r="D28" s="33">
        <f>('Raw data'!M28-'Raw data'!N28)*100/'Raw data'!M28</f>
        <v>92.913385826771659</v>
      </c>
      <c r="E28" s="51">
        <f>('Raw data'!O28-'Raw data'!P28)*100/'Raw data'!O28</f>
        <v>93.186813186813183</v>
      </c>
      <c r="F28" s="37">
        <f>('Raw data'!Q28-'Raw data'!R28)*100/'Raw data'!Q28</f>
        <v>96.947791164658639</v>
      </c>
    </row>
    <row r="29" spans="1:6" ht="19.95" customHeight="1" x14ac:dyDescent="0.25">
      <c r="A29" s="32">
        <f>((('Raw data'!B29+'Raw data'!D29)/24)*('Raw data'!G29/1000))/'plant information'!$B$20</f>
        <v>1.7918526492537314</v>
      </c>
      <c r="B29" s="33">
        <f>'Raw data'!B29/'plant information'!$B$20</f>
        <v>14.824626865671641</v>
      </c>
      <c r="C29" s="33">
        <f>('plant information'!$B$22/('Raw data'!B29+'Raw data'!D29))*24</f>
        <v>4.0985512972055043</v>
      </c>
      <c r="D29" s="33">
        <f>('Raw data'!M29-'Raw data'!N29)*100/'Raw data'!M29</f>
        <v>92.5</v>
      </c>
      <c r="E29" s="51">
        <f>('Raw data'!O29-'Raw data'!P29)*100/'Raw data'!O29</f>
        <v>92.173913043478265</v>
      </c>
      <c r="F29" s="37">
        <f>('Raw data'!Q29-'Raw data'!R29)*100/'Raw data'!Q29</f>
        <v>96.533864541832671</v>
      </c>
    </row>
    <row r="30" spans="1:6" ht="19.95" customHeight="1" x14ac:dyDescent="0.25">
      <c r="A30" s="32">
        <f>((('Raw data'!B30+'Raw data'!D30)/24)*('Raw data'!G30/1000))/'plant information'!$B$20</f>
        <v>1.7865962997512439</v>
      </c>
      <c r="B30" s="33">
        <f>'Raw data'!B30/'plant information'!$B$20</f>
        <v>14.829601990049751</v>
      </c>
      <c r="C30" s="33">
        <f>('plant information'!$B$22/('Raw data'!B30+'Raw data'!D30))*24</f>
        <v>4.0971762904799469</v>
      </c>
      <c r="D30" s="33">
        <f>('Raw data'!M30-'Raw data'!N30)*100/'Raw data'!M30</f>
        <v>94.545454545454547</v>
      </c>
      <c r="E30" s="51">
        <f>('Raw data'!O30-'Raw data'!P30)*100/'Raw data'!O30</f>
        <v>92.893518518518519</v>
      </c>
      <c r="F30" s="37">
        <f>('Raw data'!Q30-'Raw data'!R30)*100/'Raw data'!Q30</f>
        <v>97.165991902834008</v>
      </c>
    </row>
    <row r="31" spans="1:6" ht="19.95" customHeight="1" x14ac:dyDescent="0.25">
      <c r="A31" s="32">
        <f>((('Raw data'!B31+'Raw data'!D31)/24)*('Raw data'!G31/1000))/'plant information'!$B$20</f>
        <v>1.8058636038557212</v>
      </c>
      <c r="B31" s="33">
        <f>'Raw data'!B31/'plant information'!$B$20</f>
        <v>14.98134328358209</v>
      </c>
      <c r="C31" s="33">
        <f>('plant information'!$B$22/('Raw data'!B31+'Raw data'!D31))*24</f>
        <v>4.0556772861263939</v>
      </c>
      <c r="D31" s="33">
        <f>('Raw data'!M31-'Raw data'!N31)*100/'Raw data'!M31</f>
        <v>92.5</v>
      </c>
      <c r="E31" s="51">
        <f>('Raw data'!O31-'Raw data'!P31)*100/'Raw data'!O31</f>
        <v>94.36363636363636</v>
      </c>
      <c r="F31" s="37">
        <f>('Raw data'!Q31-'Raw data'!R31)*100/'Raw data'!Q31</f>
        <v>97.312252964426875</v>
      </c>
    </row>
    <row r="32" spans="1:6" ht="19.95" customHeight="1" x14ac:dyDescent="0.25">
      <c r="A32" s="32">
        <f>((('Raw data'!B32+'Raw data'!D32)/24)*('Raw data'!G32/1000))/'plant information'!$B$20</f>
        <v>1.5494681540215587</v>
      </c>
      <c r="B32" s="33">
        <f>'Raw data'!B32/'plant information'!$B$20</f>
        <v>13.215174129353233</v>
      </c>
      <c r="C32" s="33">
        <f>('plant information'!$B$22/('Raw data'!B32+'Raw data'!D32))*24</f>
        <v>4.5977066269545794</v>
      </c>
      <c r="D32" s="33">
        <f>('Raw data'!M32-'Raw data'!N32)*100/'Raw data'!M32</f>
        <v>90.769230769230774</v>
      </c>
      <c r="E32" s="51">
        <f>('Raw data'!O32-'Raw data'!P32)*100/'Raw data'!O32</f>
        <v>91.42</v>
      </c>
      <c r="F32" s="37">
        <f>('Raw data'!Q32-'Raw data'!R32)*100/'Raw data'!Q32</f>
        <v>96.370967741935488</v>
      </c>
    </row>
    <row r="33" spans="1:6" ht="19.95" customHeight="1" x14ac:dyDescent="0.25">
      <c r="A33" s="32">
        <f>((('Raw data'!B33+'Raw data'!D33)/24)*('Raw data'!G33/1000))/'plant information'!$B$20</f>
        <v>1.4162764303482587</v>
      </c>
      <c r="B33" s="33">
        <f>'Raw data'!B33/'plant information'!$B$20</f>
        <v>12.126865671641792</v>
      </c>
      <c r="C33" s="33">
        <f>('plant information'!$B$22/('Raw data'!B33+'Raw data'!D33))*24</f>
        <v>5.0103213242453748</v>
      </c>
      <c r="D33" s="33">
        <f>('Raw data'!M33-'Raw data'!N33)*100/'Raw data'!M33</f>
        <v>90.4</v>
      </c>
      <c r="E33" s="52">
        <f>('Raw data'!O33-'Raw data'!P33)*100/'Raw data'!O33</f>
        <v>93.26</v>
      </c>
      <c r="F33" s="37">
        <f>('Raw data'!Q33-'Raw data'!R33)*100/'Raw data'!Q33</f>
        <v>96.428571428571431</v>
      </c>
    </row>
    <row r="34" spans="1:6" ht="19.95" customHeight="1" x14ac:dyDescent="0.25">
      <c r="A34" s="32">
        <f>((('Raw data'!B34+'Raw data'!D34)/24)*('Raw data'!G34/1000))/'plant information'!$B$20</f>
        <v>2.2242533519900496</v>
      </c>
      <c r="B34" s="33">
        <f>'Raw data'!B34/'plant information'!$B$20</f>
        <v>18.707711442786071</v>
      </c>
      <c r="C34" s="33">
        <f>('plant information'!$B$22/('Raw data'!B34+'Raw data'!D34))*24</f>
        <v>3.2478314547830869</v>
      </c>
      <c r="D34" s="33">
        <f>('Raw data'!M34-'Raw data'!N34)*100/'Raw data'!M34</f>
        <v>91.139240506329116</v>
      </c>
      <c r="E34" s="51">
        <f>('Raw data'!O34-'Raw data'!P34)*100/'Raw data'!O34</f>
        <v>92.925430210325047</v>
      </c>
      <c r="F34" s="37">
        <f>('Raw data'!Q34-'Raw data'!R34)*100/'Raw data'!Q34</f>
        <v>95.934959349593498</v>
      </c>
    </row>
    <row r="35" spans="1:6" ht="19.95" customHeight="1" x14ac:dyDescent="0.25">
      <c r="A35" s="32">
        <f>((('Raw data'!B35+'Raw data'!D35)/24)*('Raw data'!G35/1000))/'plant information'!$B$20</f>
        <v>2.2232014925373136</v>
      </c>
      <c r="B35" s="33">
        <f>'Raw data'!B35/'plant information'!$B$20</f>
        <v>18.761194029850746</v>
      </c>
      <c r="C35" s="33">
        <f>('plant information'!$B$22/('Raw data'!B35+'Raw data'!D35))*24</f>
        <v>3.2385728527839039</v>
      </c>
      <c r="D35" s="33">
        <f>('Raw data'!M35-'Raw data'!N35)*100/'Raw data'!M35</f>
        <v>92.96875</v>
      </c>
      <c r="E35" s="51">
        <f>('Raw data'!O35-'Raw data'!P35)*100/'Raw data'!O35</f>
        <v>94.40425531914893</v>
      </c>
      <c r="F35" s="37">
        <f>('Raw data'!Q35-'Raw data'!R35)*100/'Raw data'!Q35</f>
        <v>93.909090909090907</v>
      </c>
    </row>
    <row r="36" spans="1:6" ht="19.95" customHeight="1" x14ac:dyDescent="0.25">
      <c r="A36" s="32">
        <f>((('Raw data'!B36+'Raw data'!D36)/24)*('Raw data'!G36/1000))/'plant information'!$B$20</f>
        <v>2.2089906633499172</v>
      </c>
      <c r="B36" s="33">
        <f>'Raw data'!B36/'plant information'!$B$20</f>
        <v>18.808457711442784</v>
      </c>
      <c r="C36" s="33">
        <f>('plant information'!$B$22/('Raw data'!B36+'Raw data'!D36))*24</f>
        <v>3.230434658867372</v>
      </c>
      <c r="D36" s="33">
        <f>('Raw data'!M36-'Raw data'!N36)*100/'Raw data'!M36</f>
        <v>90.579710144927532</v>
      </c>
      <c r="E36" s="51">
        <f>('Raw data'!O36-'Raw data'!P36)*100/'Raw data'!O36</f>
        <v>89.459459459459453</v>
      </c>
      <c r="F36" s="37">
        <f>('Raw data'!Q36-'Raw data'!R36)*100/'Raw data'!Q36</f>
        <v>96.224899598393577</v>
      </c>
    </row>
    <row r="37" spans="1:6" ht="19.95" customHeight="1" x14ac:dyDescent="0.25">
      <c r="A37" s="32">
        <f>((('Raw data'!B37+'Raw data'!D37)/24)*('Raw data'!G37/1000))/'plant information'!$B$20</f>
        <v>2.3037032131011608</v>
      </c>
      <c r="B37" s="33">
        <f>'Raw data'!B37/'plant information'!$B$20</f>
        <v>19.483830845771145</v>
      </c>
      <c r="C37" s="33">
        <f>('plant information'!$B$22/('Raw data'!B37+'Raw data'!D37))*24</f>
        <v>3.1184572557543824</v>
      </c>
      <c r="D37" s="33">
        <f>('Raw data'!M37-'Raw data'!N37)*100/'Raw data'!M37</f>
        <v>90.977443609022558</v>
      </c>
      <c r="E37" s="51">
        <f>('Raw data'!O37-'Raw data'!P37)*100/'Raw data'!O37</f>
        <v>91.659574468085111</v>
      </c>
      <c r="F37" s="37">
        <f>('Raw data'!Q37-'Raw data'!R37)*100/'Raw data'!Q37</f>
        <v>96.062992125984252</v>
      </c>
    </row>
    <row r="38" spans="1:6" ht="19.95" customHeight="1" x14ac:dyDescent="0.25">
      <c r="A38" s="32">
        <f>((('Raw data'!B38+'Raw data'!D38)/24)*('Raw data'!G38/1000))/'plant information'!$B$20</f>
        <v>2.3218982690713101</v>
      </c>
      <c r="B38" s="33">
        <f>'Raw data'!B38/'plant information'!$B$20</f>
        <v>19.539800995024876</v>
      </c>
      <c r="C38" s="33">
        <f>('plant information'!$B$22/('Raw data'!B38+'Raw data'!D38))*24</f>
        <v>3.1095246920046087</v>
      </c>
      <c r="D38" s="33">
        <f>('Raw data'!M38-'Raw data'!N38)*100/'Raw data'!M38</f>
        <v>92.555555555555557</v>
      </c>
      <c r="E38" s="51">
        <f>('Raw data'!O38-'Raw data'!P38)*100/'Raw data'!O38</f>
        <v>92.769230769230774</v>
      </c>
      <c r="F38" s="37">
        <f>('Raw data'!Q38-'Raw data'!R38)*100/'Raw data'!Q38</f>
        <v>96.356275303643727</v>
      </c>
    </row>
    <row r="39" spans="1:6" ht="19.95" customHeight="1" x14ac:dyDescent="0.25">
      <c r="A39" s="32">
        <f>((('Raw data'!B39+'Raw data'!D39)/24)*('Raw data'!G39/1000))/'plant information'!$B$20</f>
        <v>2.3885067817164178</v>
      </c>
      <c r="B39" s="33">
        <f>'Raw data'!B39/'plant information'!$B$20</f>
        <v>20.257462686567163</v>
      </c>
      <c r="C39" s="33">
        <f>('plant information'!$B$22/('Raw data'!B39+'Raw data'!D39))*24</f>
        <v>2.9993634746357465</v>
      </c>
      <c r="D39" s="33">
        <f>('Raw data'!M39-'Raw data'!N39)*100/'Raw data'!M39</f>
        <v>92</v>
      </c>
      <c r="E39" s="51">
        <f>('Raw data'!O39-'Raw data'!P39)*100/'Raw data'!O39</f>
        <v>92.769784172661858</v>
      </c>
      <c r="F39" s="3">
        <f>('Raw data'!Q39-'Raw data'!R39)*100/'Raw data'!Q39</f>
        <v>95.88</v>
      </c>
    </row>
    <row r="40" spans="1:6" ht="19.95" customHeight="1" x14ac:dyDescent="0.25">
      <c r="A40" s="32">
        <f>((('Raw data'!B40+'Raw data'!D40)/24)*('Raw data'!G40/1000))/'plant information'!$B$20</f>
        <v>2.3848852114427861</v>
      </c>
      <c r="B40" s="33">
        <f>'Raw data'!B40/'plant information'!$B$20</f>
        <v>20.363184079601989</v>
      </c>
      <c r="C40" s="33">
        <f>('plant information'!$B$22/('Raw data'!B40+'Raw data'!D40))*24</f>
        <v>2.983791406754972</v>
      </c>
      <c r="D40" s="33">
        <f>('Raw data'!M40-'Raw data'!N40)*100/'Raw data'!M40</f>
        <v>92.666666666666671</v>
      </c>
      <c r="E40" s="51">
        <f>('Raw data'!O40-'Raw data'!P40)*100/'Raw data'!O40</f>
        <v>93.471698113207552</v>
      </c>
      <c r="F40" s="37">
        <f>('Raw data'!Q40-'Raw data'!R40)*100/'Raw data'!Q40</f>
        <v>96.284584980237156</v>
      </c>
    </row>
    <row r="41" spans="1:6" ht="19.95" customHeight="1" x14ac:dyDescent="0.25">
      <c r="A41" s="32">
        <f>((('Raw data'!B41+'Raw data'!D41)/24)*('Raw data'!G41/1000))/'plant information'!$B$20</f>
        <v>2.4336082649253732</v>
      </c>
      <c r="B41" s="33">
        <f>'Raw data'!B41/'plant information'!$B$20</f>
        <v>20.697761194029852</v>
      </c>
      <c r="C41" s="33">
        <f>('plant information'!$B$22/('Raw data'!B41+'Raw data'!D41))*24</f>
        <v>2.9355587351356531</v>
      </c>
      <c r="D41" s="33">
        <f>('Raw data'!M41-'Raw data'!N41)*100/'Raw data'!M41</f>
        <v>93.181818181818187</v>
      </c>
      <c r="E41" s="51">
        <f>('Raw data'!O41-'Raw data'!P41)*100/'Raw data'!O41</f>
        <v>91.914893617021278</v>
      </c>
      <c r="F41" s="37">
        <f>('Raw data'!Q41-'Raw data'!R41)*100/'Raw data'!Q41</f>
        <v>96.122448979591837</v>
      </c>
    </row>
    <row r="42" spans="1:6" ht="19.95" customHeight="1" x14ac:dyDescent="0.25">
      <c r="A42" s="32">
        <f>((('Raw data'!B42+'Raw data'!D42)/24)*('Raw data'!G42/1000))/'plant information'!$B$20</f>
        <v>2.4344843231757873</v>
      </c>
      <c r="B42" s="33">
        <f>'Raw data'!B42/'plant information'!$B$20</f>
        <v>20.740049751243781</v>
      </c>
      <c r="C42" s="33">
        <f>('plant information'!$B$22/('Raw data'!B42+'Raw data'!D42))*24</f>
        <v>2.9295731880894995</v>
      </c>
      <c r="D42" s="33">
        <f>('Raw data'!M42-'Raw data'!N42)*100/'Raw data'!M42</f>
        <v>92.941176470588232</v>
      </c>
      <c r="E42" s="51">
        <f>('Raw data'!O42-'Raw data'!P42)*100/'Raw data'!O42</f>
        <v>91.6</v>
      </c>
      <c r="F42" s="37">
        <f>('Raw data'!Q42-'Raw data'!R42)*100/'Raw data'!Q42</f>
        <v>96.573705179282868</v>
      </c>
    </row>
    <row r="43" spans="1:6" ht="19.95" customHeight="1" x14ac:dyDescent="0.25">
      <c r="A43" s="32">
        <f>((('Raw data'!B43+'Raw data'!D43)/24)*('Raw data'!G43/1000))/'plant information'!$B$20</f>
        <v>2.4180485074626867</v>
      </c>
      <c r="B43" s="33">
        <f>'Raw data'!B43/'plant information'!$B$20</f>
        <v>20.405472636815919</v>
      </c>
      <c r="C43" s="33">
        <f>('plant information'!$B$22/('Raw data'!B43+'Raw data'!D43))*24</f>
        <v>2.9776077600507378</v>
      </c>
      <c r="D43" s="33">
        <f>('Raw data'!M43-'Raw data'!N43)*100/'Raw data'!M43</f>
        <v>94.06451612903227</v>
      </c>
      <c r="E43" s="51">
        <f>('Raw data'!O43-'Raw data'!P43)*100/'Raw data'!O43</f>
        <v>93.333333333333329</v>
      </c>
      <c r="F43" s="37">
        <f>('Raw data'!Q43-'Raw data'!R43)*100/'Raw data'!Q43</f>
        <v>97.096774193548384</v>
      </c>
    </row>
    <row r="44" spans="1:6" ht="19.95" customHeight="1" x14ac:dyDescent="0.25">
      <c r="A44" s="32">
        <f>((('Raw data'!B44+'Raw data'!D44)/24)*('Raw data'!G44/1000))/'plant information'!$B$20</f>
        <v>2.3858638681592037</v>
      </c>
      <c r="B44" s="33">
        <f>'Raw data'!B44/'plant information'!$B$20</f>
        <v>20.475124378109452</v>
      </c>
      <c r="C44" s="33">
        <f>('plant information'!$B$22/('Raw data'!B44+'Raw data'!D44))*24</f>
        <v>2.9674786120393879</v>
      </c>
      <c r="D44" s="33">
        <f>('Raw data'!M44-'Raw data'!N44)*100/'Raw data'!M44</f>
        <v>93.214285714285708</v>
      </c>
      <c r="E44" s="51">
        <f>('Raw data'!O44-'Raw data'!P44)*100/'Raw data'!O44</f>
        <v>94.44</v>
      </c>
      <c r="F44" s="37">
        <f>('Raw data'!Q44-'Raw data'!R44)*100/'Raw data'!Q44</f>
        <v>96.865079365079367</v>
      </c>
    </row>
    <row r="45" spans="1:6" ht="19.95" customHeight="1" x14ac:dyDescent="0.25">
      <c r="A45" s="32">
        <f>((('Raw data'!B45+'Raw data'!D45)/24)*('Raw data'!G45/1000))/'plant information'!$B$20</f>
        <v>2.3957561453150911</v>
      </c>
      <c r="B45" s="33">
        <f>'Raw data'!B45/'plant information'!$B$20</f>
        <v>20.364427860696516</v>
      </c>
      <c r="C45" s="33">
        <f>('plant information'!$B$22/('Raw data'!B45+'Raw data'!D45))*24</f>
        <v>2.9836091682277166</v>
      </c>
      <c r="D45" s="33">
        <f>('Raw data'!M45-'Raw data'!N45)*100/'Raw data'!M45</f>
        <v>91.534391534391531</v>
      </c>
      <c r="E45" s="51">
        <f>('Raw data'!O45-'Raw data'!P45)*100/'Raw data'!O45</f>
        <v>90.434782608695656</v>
      </c>
      <c r="F45" s="37">
        <f>('Raw data'!Q45-'Raw data'!R45)*100/'Raw data'!Q45</f>
        <v>95.975609756097555</v>
      </c>
    </row>
    <row r="46" spans="1:6" ht="19.95" customHeight="1" x14ac:dyDescent="0.25">
      <c r="A46" s="32">
        <f>((('Raw data'!B46+'Raw data'!D46)/24)*('Raw data'!G46/1000))/'plant information'!$B$20</f>
        <v>2.2791188847429518</v>
      </c>
      <c r="B46" s="33">
        <f>'Raw data'!B46/'plant information'!$B$20</f>
        <v>20.364427860696516</v>
      </c>
      <c r="C46" s="33">
        <f>('plant information'!$B$22/('Raw data'!B46+'Raw data'!D46))*24</f>
        <v>2.9836091682277166</v>
      </c>
      <c r="D46" s="33">
        <f>('Raw data'!M46-'Raw data'!N46)*100/'Raw data'!M46</f>
        <v>93.15789473684211</v>
      </c>
      <c r="E46" s="51">
        <f>('Raw data'!O46-'Raw data'!P46)*100/'Raw data'!O46</f>
        <v>92.48</v>
      </c>
      <c r="F46" s="37">
        <f>('Raw data'!Q46-'Raw data'!R46)*100/'Raw data'!Q46</f>
        <v>96.811023622047244</v>
      </c>
    </row>
    <row r="47" spans="1:6" ht="19.95" customHeight="1" x14ac:dyDescent="0.25">
      <c r="A47" s="32">
        <f>((('Raw data'!B47+'Raw data'!D47)/24)*('Raw data'!G47/1000))/'plant information'!$B$20</f>
        <v>2.3787040837479272</v>
      </c>
      <c r="B47" s="33">
        <f>'Raw data'!B47/'plant information'!$B$20</f>
        <v>20.118159203980099</v>
      </c>
      <c r="C47" s="33">
        <f>('plant information'!$B$22/('Raw data'!B47+'Raw data'!D47))*24</f>
        <v>3.0201318646919568</v>
      </c>
      <c r="D47" s="33">
        <f>('Raw data'!M47-'Raw data'!N47)*100/'Raw data'!M47</f>
        <v>93.214285714285708</v>
      </c>
      <c r="E47" s="51">
        <f>('Raw data'!O47-'Raw data'!P47)*100/'Raw data'!O47</f>
        <v>93.111111111111114</v>
      </c>
      <c r="F47" s="3">
        <f>('Raw data'!Q47-'Raw data'!R47)*100/'Raw data'!Q47</f>
        <v>96.44</v>
      </c>
    </row>
    <row r="48" spans="1:6" ht="19.95" customHeight="1" x14ac:dyDescent="0.25">
      <c r="A48" s="32">
        <f>((('Raw data'!B48+'Raw data'!D48)/24)*('Raw data'!G48/1000))/'plant information'!$B$20</f>
        <v>2.3695430970149252</v>
      </c>
      <c r="B48" s="33">
        <f>'Raw data'!B48/'plant information'!$B$20</f>
        <v>20.164179104477611</v>
      </c>
      <c r="C48" s="33">
        <f>('plant information'!$B$22/('Raw data'!B48+'Raw data'!D48))*24</f>
        <v>3.01323913837851</v>
      </c>
      <c r="D48" s="33">
        <f>('Raw data'!M48-'Raw data'!N48)*100/'Raw data'!M48</f>
        <v>89.393939393939391</v>
      </c>
      <c r="E48" s="51">
        <f>('Raw data'!O48-'Raw data'!P48)*100/'Raw data'!O48</f>
        <v>90.162790697674424</v>
      </c>
      <c r="F48" s="37">
        <f>('Raw data'!Q48-'Raw data'!R48)*100/'Raw data'!Q48</f>
        <v>95.546558704453446</v>
      </c>
    </row>
    <row r="49" spans="1:6" ht="19.95" customHeight="1" x14ac:dyDescent="0.25">
      <c r="A49" s="32">
        <f>((('Raw data'!B49+'Raw data'!D49)/24)*('Raw data'!G49/1000))/'plant information'!$B$20</f>
        <v>2.3401708675373132</v>
      </c>
      <c r="B49" s="33">
        <f>'Raw data'!B49/'plant information'!$B$20</f>
        <v>19.958955223880597</v>
      </c>
      <c r="C49" s="33">
        <f>('plant information'!$B$22/('Raw data'!B49+'Raw data'!D49))*24</f>
        <v>3.0442221543835233</v>
      </c>
      <c r="D49" s="33">
        <f>('Raw data'!M49-'Raw data'!N49)*100/'Raw data'!M49</f>
        <v>91.17647058823529</v>
      </c>
      <c r="E49" s="51">
        <f>('Raw data'!O49-'Raw data'!P49)*100/'Raw data'!O49</f>
        <v>92.340425531914889</v>
      </c>
      <c r="F49" s="37">
        <f>('Raw data'!Q49-'Raw data'!R49)*100/'Raw data'!Q49</f>
        <v>96.442687747035578</v>
      </c>
    </row>
    <row r="50" spans="1:6" ht="19.95" customHeight="1" x14ac:dyDescent="0.25">
      <c r="A50" s="32">
        <f>((('Raw data'!B50+'Raw data'!D50)/24)*('Raw data'!G50/1000))/'plant information'!$B$20</f>
        <v>2.3277462997512437</v>
      </c>
      <c r="B50" s="33">
        <f>'Raw data'!B50/'plant information'!$B$20</f>
        <v>19.976368159203979</v>
      </c>
      <c r="C50" s="33">
        <f>('plant information'!$B$22/('Raw data'!B50+'Raw data'!D50))*24</f>
        <v>3.0415685767631162</v>
      </c>
      <c r="D50" s="33">
        <f>('Raw data'!M50-'Raw data'!N50)*100/'Raw data'!M50</f>
        <v>93.233082706766922</v>
      </c>
      <c r="E50" s="51">
        <f>('Raw data'!O50-'Raw data'!P50)*100/'Raw data'!O50</f>
        <v>91.794871794871796</v>
      </c>
      <c r="F50" s="37">
        <f>('Raw data'!Q50-'Raw data'!R50)*100/'Raw data'!Q50</f>
        <v>96.812749003984067</v>
      </c>
    </row>
    <row r="51" spans="1:6" ht="19.95" customHeight="1" x14ac:dyDescent="0.25">
      <c r="A51" s="32">
        <f>((('Raw data'!B51+'Raw data'!D51)/24)*('Raw data'!G51/1000))/'plant information'!$B$20</f>
        <v>2.3117169475538968</v>
      </c>
      <c r="B51" s="33">
        <f>'Raw data'!B51/'plant information'!$B$20</f>
        <v>19.628109452736318</v>
      </c>
      <c r="C51" s="33">
        <f>('plant information'!$B$22/('Raw data'!B51+'Raw data'!D51))*24</f>
        <v>3.095534688004081</v>
      </c>
      <c r="D51" s="33">
        <f>('Raw data'!M51-'Raw data'!N51)*100/'Raw data'!M51</f>
        <v>92.125984251968504</v>
      </c>
      <c r="E51" s="51">
        <f>('Raw data'!O51-'Raw data'!P51)*100/'Raw data'!O51</f>
        <v>93.66935483870968</v>
      </c>
      <c r="F51" s="37">
        <f>('Raw data'!Q51-'Raw data'!R51)*100/'Raw data'!Q51</f>
        <v>96.895161290322577</v>
      </c>
    </row>
    <row r="52" spans="1:6" ht="19.95" customHeight="1" x14ac:dyDescent="0.25">
      <c r="A52" s="32">
        <f>((('Raw data'!B52+'Raw data'!D52)/24)*('Raw data'!G52/1000))/'plant information'!$B$20</f>
        <v>2.2012480410447761</v>
      </c>
      <c r="B52" s="33">
        <f>'Raw data'!B52/'plant information'!$B$20</f>
        <v>19.645522388059703</v>
      </c>
      <c r="C52" s="33">
        <f>('plant information'!$B$22/('Raw data'!B52+'Raw data'!D52))*24</f>
        <v>3.0927909408922072</v>
      </c>
      <c r="D52" s="33">
        <f>('Raw data'!M52-'Raw data'!N52)*100/'Raw data'!M52</f>
        <v>93.333333333333329</v>
      </c>
      <c r="E52" s="51">
        <f>('Raw data'!O52-'Raw data'!P52)*100/'Raw data'!O52</f>
        <v>93.962264150943398</v>
      </c>
      <c r="F52" s="37">
        <f>('Raw data'!Q52-'Raw data'!R52)*100/'Raw data'!Q52</f>
        <v>95.833333333333329</v>
      </c>
    </row>
    <row r="53" spans="1:6" ht="19.95" customHeight="1" x14ac:dyDescent="0.25">
      <c r="A53" s="32">
        <f>((('Raw data'!B53+'Raw data'!D53)/24)*('Raw data'!G53/1000))/'plant information'!$B$20</f>
        <v>2.3244710095356549</v>
      </c>
      <c r="B53" s="33">
        <f>'Raw data'!B53/'plant information'!$B$20</f>
        <v>19.539800995024876</v>
      </c>
      <c r="C53" s="33">
        <f>('plant information'!$B$22/('Raw data'!B53+'Raw data'!D53))*24</f>
        <v>3.1095246920046087</v>
      </c>
      <c r="D53" s="33">
        <f>('Raw data'!M53-'Raw data'!N53)*100/'Raw data'!M53</f>
        <v>92.10526315789474</v>
      </c>
      <c r="E53" s="51">
        <f>('Raw data'!O53-'Raw data'!P53)*100/'Raw data'!O53</f>
        <v>92.095588235294116</v>
      </c>
      <c r="F53" s="37">
        <f>('Raw data'!Q53-'Raw data'!R53)*100/'Raw data'!Q53</f>
        <v>95.528455284552848</v>
      </c>
    </row>
    <row r="54" spans="1:6" ht="19.95" customHeight="1" x14ac:dyDescent="0.25">
      <c r="A54" s="32">
        <f>((('Raw data'!B54+'Raw data'!D54)/24)*('Raw data'!G54/1000))/'plant information'!$B$20</f>
        <v>2.2869420791873964</v>
      </c>
      <c r="B54" s="33">
        <f>'Raw data'!B54/'plant information'!$B$20</f>
        <v>19.50497512437811</v>
      </c>
      <c r="C54" s="33">
        <f>('plant information'!$B$22/('Raw data'!B54+'Raw data'!D54))*24</f>
        <v>3.1150767065037881</v>
      </c>
      <c r="D54" s="33">
        <f>('Raw data'!M54-'Raw data'!N54)*100/'Raw data'!M54</f>
        <v>95.10204081632655</v>
      </c>
      <c r="E54" s="51">
        <f>('Raw data'!O54-'Raw data'!P54)*100/'Raw data'!O54</f>
        <v>95.75</v>
      </c>
      <c r="F54" s="3">
        <f>('Raw data'!Q54-'Raw data'!R54)*100/'Raw data'!Q54</f>
        <v>97.6</v>
      </c>
    </row>
    <row r="55" spans="1:6" ht="19.95" customHeight="1" x14ac:dyDescent="0.25">
      <c r="A55" s="32">
        <f>((('Raw data'!B55+'Raw data'!D55)/24)*('Raw data'!G55/1000))/'plant information'!$B$20</f>
        <v>2.2535952031509119</v>
      </c>
      <c r="B55" s="33">
        <f>'Raw data'!B55/'plant information'!$B$20</f>
        <v>19.199004975124378</v>
      </c>
      <c r="C55" s="33">
        <f>('plant information'!$B$22/('Raw data'!B55+'Raw data'!D55))*24</f>
        <v>3.1647209711967097</v>
      </c>
      <c r="D55" s="33">
        <f>('Raw data'!M55-'Raw data'!N55)*100/'Raw data'!M55</f>
        <v>92.473118279569889</v>
      </c>
      <c r="E55" s="51">
        <f>('Raw data'!O55-'Raw data'!P55)*100/'Raw data'!O55</f>
        <v>92.244897959183675</v>
      </c>
      <c r="F55" s="37">
        <f>('Raw data'!Q55-'Raw data'!R55)*100/'Raw data'!Q55</f>
        <v>96.181102362204726</v>
      </c>
    </row>
    <row r="56" spans="1:6" ht="19.95" customHeight="1" x14ac:dyDescent="0.25">
      <c r="A56" s="32">
        <f>((('Raw data'!B56+'Raw data'!D56)/24)*('Raw data'!G56/1000))/'plant information'!$B$20</f>
        <v>2.2931032276119403</v>
      </c>
      <c r="B56" s="33">
        <f>'Raw data'!B56/'plant information'!$B$20</f>
        <v>19.276119402985074</v>
      </c>
      <c r="C56" s="33">
        <f>('plant information'!$B$22/('Raw data'!B56+'Raw data'!D56))*24</f>
        <v>3.1520604536967611</v>
      </c>
      <c r="D56" s="33">
        <f>('Raw data'!M56-'Raw data'!N56)*100/'Raw data'!M56</f>
        <v>91.056910569105696</v>
      </c>
      <c r="E56" s="51">
        <f>('Raw data'!O56-'Raw data'!P56)*100/'Raw data'!O56</f>
        <v>92.792792792792795</v>
      </c>
      <c r="F56" s="37">
        <f>('Raw data'!Q56-'Raw data'!R56)*100/'Raw data'!Q56</f>
        <v>97.188755020080322</v>
      </c>
    </row>
    <row r="57" spans="1:6" ht="19.95" customHeight="1" x14ac:dyDescent="0.25">
      <c r="A57" s="32">
        <f>((('Raw data'!B57+'Raw data'!D57)/24)*('Raw data'!G57/1000))/'plant information'!$B$20</f>
        <v>2.2376840889303478</v>
      </c>
      <c r="B57" s="33">
        <f>'Raw data'!B57/'plant information'!$B$20</f>
        <v>18.851990049751244</v>
      </c>
      <c r="C57" s="33">
        <f>('plant information'!$B$22/('Raw data'!B57+'Raw data'!D57))*24</f>
        <v>3.222975055181923</v>
      </c>
      <c r="D57" s="33">
        <f>('Raw data'!M57-'Raw data'!N57)*100/'Raw data'!M57</f>
        <v>94.285714285714292</v>
      </c>
      <c r="E57" s="51">
        <f>('Raw data'!O57-'Raw data'!P57)*100/'Raw data'!O57</f>
        <v>93.47629796839729</v>
      </c>
      <c r="F57" s="37">
        <f>('Raw data'!Q57-'Raw data'!R57)*100/'Raw data'!Q57</f>
        <v>97.211155378486055</v>
      </c>
    </row>
    <row r="58" spans="1:6" ht="19.95" customHeight="1" x14ac:dyDescent="0.25">
      <c r="A58" s="32">
        <f>((('Raw data'!B58+'Raw data'!D58)/24)*('Raw data'!G58/1000))/'plant information'!$B$20</f>
        <v>1.4771354166666666</v>
      </c>
      <c r="B58" s="33">
        <f>'Raw data'!B58/'plant information'!$B$20</f>
        <v>12.5</v>
      </c>
      <c r="C58" s="33">
        <f>('plant information'!$B$22/('Raw data'!B58+'Raw data'!D58))*24</f>
        <v>4.8607594936708862</v>
      </c>
      <c r="D58" s="33">
        <f>('Raw data'!M58-'Raw data'!N58)*100/'Raw data'!M58</f>
        <v>91.428571428571431</v>
      </c>
      <c r="E58" s="51">
        <f>('Raw data'!O58-'Raw data'!P58)*100/'Raw data'!O58</f>
        <v>92.348993288590606</v>
      </c>
      <c r="F58" s="37">
        <f>('Raw data'!Q58-'Raw data'!R58)*100/'Raw data'!Q58</f>
        <v>96.761133603238861</v>
      </c>
    </row>
    <row r="59" spans="1:6" ht="19.95" customHeight="1" x14ac:dyDescent="0.25">
      <c r="A59" s="32">
        <f>((('Raw data'!B59+'Raw data'!D59)/24)*('Raw data'!G59/1000))/'plant information'!$B$20</f>
        <v>2.2092360644693199</v>
      </c>
      <c r="B59" s="33">
        <f>'Raw data'!B59/'plant information'!$B$20</f>
        <v>18.695273631840795</v>
      </c>
      <c r="C59" s="33">
        <f>('plant information'!$B$22/('Raw data'!B59+'Raw data'!D59))*24</f>
        <v>3.2499922101917642</v>
      </c>
      <c r="D59" s="33">
        <f>('Raw data'!M59-'Raw data'!N59)*100/'Raw data'!M59</f>
        <v>91.338582677165348</v>
      </c>
      <c r="E59" s="51">
        <f>('Raw data'!O59-'Raw data'!P59)*100/'Raw data'!O59</f>
        <v>91.425389755011139</v>
      </c>
      <c r="F59" s="37">
        <f>('Raw data'!Q59-'Raw data'!R59)*100/'Raw data'!Q59</f>
        <v>96.442687747035578</v>
      </c>
    </row>
    <row r="60" spans="1:6" ht="19.95" customHeight="1" x14ac:dyDescent="0.25">
      <c r="A60" s="32">
        <f>((('Raw data'!B60+'Raw data'!D60)/24)*('Raw data'!G60/1000))/'plant information'!$B$20</f>
        <v>2.1872367589137642</v>
      </c>
      <c r="B60" s="33">
        <f>'Raw data'!B60/'plant information'!$B$20</f>
        <v>18.71766169154229</v>
      </c>
      <c r="C60" s="33">
        <f>('plant information'!$B$22/('Raw data'!B60+'Raw data'!D60))*24</f>
        <v>3.2461049180272719</v>
      </c>
      <c r="D60" s="33">
        <f>('Raw data'!M60-'Raw data'!N60)*100/'Raw data'!M60</f>
        <v>94.267515923566876</v>
      </c>
      <c r="E60" s="51">
        <f>('Raw data'!O60-'Raw data'!P60)*100/'Raw data'!O60</f>
        <v>94.041095890410958</v>
      </c>
      <c r="F60" s="37">
        <f>('Raw data'!Q60-'Raw data'!R60)*100/'Raw data'!Q60</f>
        <v>96.532258064516128</v>
      </c>
    </row>
    <row r="61" spans="1:6" ht="19.95" customHeight="1" x14ac:dyDescent="0.25">
      <c r="A61" s="32">
        <f>((('Raw data'!B61+'Raw data'!D61)/24)*('Raw data'!G61/1000))/'plant information'!$B$20</f>
        <v>2.2039815982587063</v>
      </c>
      <c r="B61" s="33">
        <f>'Raw data'!B61/'plant information'!$B$20</f>
        <v>18.578358208955223</v>
      </c>
      <c r="C61" s="33">
        <f>('plant information'!$B$22/('Raw data'!B61+'Raw data'!D61))*24</f>
        <v>3.2704447286196965</v>
      </c>
      <c r="D61" s="33">
        <f>('Raw data'!M61-'Raw data'!N61)*100/'Raw data'!M61</f>
        <v>92</v>
      </c>
      <c r="E61" s="51">
        <f>('Raw data'!O61-'Raw data'!P61)*100/'Raw data'!O61</f>
        <v>91.303370786516851</v>
      </c>
      <c r="F61" s="37">
        <f>('Raw data'!Q61-'Raw data'!R61)*100/'Raw data'!Q61</f>
        <v>96.428571428571431</v>
      </c>
    </row>
    <row r="62" spans="1:6" ht="19.95" customHeight="1" x14ac:dyDescent="0.25">
      <c r="A62" s="32">
        <f>((('Raw data'!B62+'Raw data'!D62)/24)*('Raw data'!G62/1000))/'plant information'!$B$20</f>
        <v>2.3708414220563849</v>
      </c>
      <c r="B62" s="33">
        <f>'Raw data'!B62/'plant information'!$B$20</f>
        <v>18.592039800995025</v>
      </c>
      <c r="C62" s="33">
        <f>('plant information'!$B$22/('Raw data'!B62+'Raw data'!D62))*24</f>
        <v>3.2680380593652929</v>
      </c>
      <c r="D62" s="33">
        <f>('Raw data'!M62-'Raw data'!N62)*100/'Raw data'!M62</f>
        <v>90.769230769230774</v>
      </c>
      <c r="E62" s="51">
        <f>('Raw data'!O62-'Raw data'!P62)*100/'Raw data'!O62</f>
        <v>93.193473193473196</v>
      </c>
      <c r="F62" s="37">
        <f>('Raw data'!Q62-'Raw data'!R62)*100/'Raw data'!Q62</f>
        <v>96.829268292682926</v>
      </c>
    </row>
    <row r="63" spans="1:6" ht="19.95" customHeight="1" x14ac:dyDescent="0.25">
      <c r="A63" s="32">
        <f>((('Raw data'!B63+'Raw data'!D63)/24)*('Raw data'!G63/1000))/'plant information'!$B$20</f>
        <v>2.395486343283582</v>
      </c>
      <c r="B63" s="33">
        <f>'Raw data'!B63/'plant information'!$B$20</f>
        <v>18.71766169154229</v>
      </c>
      <c r="C63" s="33">
        <f>('plant information'!$B$22/('Raw data'!B63+'Raw data'!D63))*24</f>
        <v>3.2461049180272719</v>
      </c>
      <c r="D63" s="33">
        <f>('Raw data'!M63-'Raw data'!N63)*100/'Raw data'!M63</f>
        <v>93.006993006993014</v>
      </c>
      <c r="E63" s="51">
        <f>('Raw data'!O63-'Raw data'!P63)*100/'Raw data'!O63</f>
        <v>93.103448275862064</v>
      </c>
      <c r="F63" s="37">
        <f>('Raw data'!Q63-'Raw data'!R63)*100/'Raw data'!Q63</f>
        <v>96.812749003984067</v>
      </c>
    </row>
    <row r="64" spans="1:6" ht="19.95" customHeight="1" x14ac:dyDescent="0.25">
      <c r="A64" s="32">
        <f>((('Raw data'!B64+'Raw data'!D64)/24)*('Raw data'!G64/1000))/'plant information'!$B$20</f>
        <v>2.3556429291044774</v>
      </c>
      <c r="B64" s="33">
        <f>'Raw data'!B64/'plant information'!$B$20</f>
        <v>18.578358208955223</v>
      </c>
      <c r="C64" s="33">
        <f>('plant information'!$B$22/('Raw data'!B64+'Raw data'!D64))*24</f>
        <v>3.2704447286196965</v>
      </c>
      <c r="D64" s="33">
        <f>('Raw data'!M64-'Raw data'!N64)*100/'Raw data'!M64</f>
        <v>91.333333333333329</v>
      </c>
      <c r="E64" s="51">
        <f>('Raw data'!O64-'Raw data'!P64)*100/'Raw data'!O64</f>
        <v>91.460674157303373</v>
      </c>
      <c r="F64" s="37">
        <f>('Raw data'!Q64-'Raw data'!R64)*100/'Raw data'!Q64</f>
        <v>96.385542168674704</v>
      </c>
    </row>
    <row r="65" spans="1:6" ht="19.95" customHeight="1" x14ac:dyDescent="0.25">
      <c r="A65" s="32">
        <f>((('Raw data'!B65+'Raw data'!D65)/24)*('Raw data'!G65/1000))/'plant information'!$B$20</f>
        <v>2.3647215422885575</v>
      </c>
      <c r="B65" s="33">
        <f>'Raw data'!B65/'plant information'!$B$20</f>
        <v>18.592039800995025</v>
      </c>
      <c r="C65" s="33">
        <f>('plant information'!$B$22/('Raw data'!B65+'Raw data'!D65))*24</f>
        <v>3.2680380593652929</v>
      </c>
      <c r="D65" s="33">
        <f>('Raw data'!M65-'Raw data'!N65)*100/'Raw data'!M65</f>
        <v>94.787878787878782</v>
      </c>
      <c r="E65" s="51">
        <f>('Raw data'!O65-'Raw data'!P65)*100/'Raw data'!O65</f>
        <v>93.036529680365291</v>
      </c>
      <c r="F65" s="37">
        <f>('Raw data'!Q65-'Raw data'!R65)*100/'Raw data'!Q65</f>
        <v>96.653543307086608</v>
      </c>
    </row>
    <row r="66" spans="1:6" ht="19.95" customHeight="1" x14ac:dyDescent="0.25">
      <c r="A66" s="32">
        <f>((('Raw data'!B66+'Raw data'!D66)/24)*('Raw data'!G66/1000))/'plant information'!$B$20</f>
        <v>2.3726500373134329</v>
      </c>
      <c r="B66" s="33">
        <f>'Raw data'!B66/'plant information'!$B$20</f>
        <v>18.761194029850746</v>
      </c>
      <c r="C66" s="33">
        <f>('plant information'!$B$22/('Raw data'!B66+'Raw data'!D66))*24</f>
        <v>3.2385728527839039</v>
      </c>
      <c r="D66" s="33">
        <f>('Raw data'!M66-'Raw data'!N66)*100/'Raw data'!M66</f>
        <v>91.666666666666671</v>
      </c>
      <c r="E66" s="51">
        <f>('Raw data'!O66-'Raw data'!P66)*100/'Raw data'!O66</f>
        <v>92.46</v>
      </c>
      <c r="F66" s="37">
        <f>('Raw data'!Q66-'Raw data'!R66)*100/'Raw data'!Q66</f>
        <v>97.206477732793516</v>
      </c>
    </row>
    <row r="67" spans="1:6" ht="19.95" customHeight="1" x14ac:dyDescent="0.25">
      <c r="A67" s="32">
        <f>((('Raw data'!B67+'Raw data'!D67)/24)*('Raw data'!G67/1000))/'plant information'!$B$20</f>
        <v>2.5760927238805964</v>
      </c>
      <c r="B67" s="33">
        <f>'Raw data'!B67/'plant information'!$B$20</f>
        <v>19.276119402985074</v>
      </c>
      <c r="C67" s="33">
        <f>('plant information'!$B$22/('Raw data'!B67+'Raw data'!D67))*24</f>
        <v>3.1520604536967611</v>
      </c>
      <c r="D67" s="33">
        <f>('Raw data'!M67-'Raw data'!N67)*100/'Raw data'!M67</f>
        <v>99.180616740088112</v>
      </c>
      <c r="E67" s="51">
        <f>('Raw data'!O67-'Raw data'!P67)*100/'Raw data'!O67</f>
        <v>92.69911504424779</v>
      </c>
      <c r="F67" s="3">
        <f>('Raw data'!Q67-'Raw data'!R67)*100/'Raw data'!Q67</f>
        <v>96.8</v>
      </c>
    </row>
    <row r="68" spans="1:6" ht="19.95" customHeight="1" x14ac:dyDescent="0.25">
      <c r="A68" s="32">
        <f>((('Raw data'!B68+'Raw data'!D68)/24)*('Raw data'!G68/1000))/'plant information'!$B$20</f>
        <v>2.3816504529436147</v>
      </c>
      <c r="B68" s="33">
        <f>'Raw data'!B68/'plant information'!$B$20</f>
        <v>18.851990049751244</v>
      </c>
      <c r="C68" s="33">
        <f>('plant information'!$B$22/('Raw data'!B68+'Raw data'!D68))*24</f>
        <v>3.222975055181923</v>
      </c>
      <c r="D68" s="33">
        <f>('Raw data'!M68-'Raw data'!N68)*100/'Raw data'!M68</f>
        <v>93</v>
      </c>
      <c r="E68" s="51">
        <f>('Raw data'!O68-'Raw data'!P68)*100/'Raw data'!O68</f>
        <v>91.366742596810937</v>
      </c>
      <c r="F68" s="37">
        <f>('Raw data'!Q68-'Raw data'!R68)*100/'Raw data'!Q68</f>
        <v>96.482213438735172</v>
      </c>
    </row>
    <row r="69" spans="1:6" ht="19.95" customHeight="1" x14ac:dyDescent="0.25">
      <c r="A69" s="32">
        <f>((('Raw data'!B69+'Raw data'!D69)/24)*('Raw data'!G69/1000))/'plant information'!$B$20</f>
        <v>2.5109946932006628</v>
      </c>
      <c r="B69" s="33">
        <f>'Raw data'!B69/'plant information'!$B$20</f>
        <v>19.539800995024876</v>
      </c>
      <c r="C69" s="33">
        <f>('plant information'!$B$22/('Raw data'!B69+'Raw data'!D69))*24</f>
        <v>3.1095246920046087</v>
      </c>
      <c r="D69" s="33">
        <f>('Raw data'!M69-'Raw data'!N69)*100/'Raw data'!M69</f>
        <v>92.75</v>
      </c>
      <c r="E69" s="51">
        <f>('Raw data'!O69-'Raw data'!P69)*100/'Raw data'!O69</f>
        <v>91.309255079006775</v>
      </c>
      <c r="F69" s="37">
        <f>('Raw data'!Q69-'Raw data'!R69)*100/'Raw data'!Q69</f>
        <v>96.571428571428569</v>
      </c>
    </row>
    <row r="70" spans="1:6" ht="19.95" customHeight="1" x14ac:dyDescent="0.25">
      <c r="A70" s="32">
        <f>((('Raw data'!B70+'Raw data'!D70)/24)*('Raw data'!G70/1000))/'plant information'!$B$20</f>
        <v>2.5978845398009947</v>
      </c>
      <c r="B70" s="33">
        <f>'Raw data'!B70/'plant information'!$B$20</f>
        <v>20.257462686567163</v>
      </c>
      <c r="C70" s="33">
        <f>('plant information'!$B$22/('Raw data'!B70+'Raw data'!D70))*24</f>
        <v>2.9993634746357465</v>
      </c>
      <c r="D70" s="33">
        <f>('Raw data'!M70-'Raw data'!N70)*100/'Raw data'!M70</f>
        <v>94.799999999999983</v>
      </c>
      <c r="E70" s="51">
        <f>('Raw data'!O70-'Raw data'!P70)*100/'Raw data'!O70</f>
        <v>93.04651162790698</v>
      </c>
      <c r="F70" s="37">
        <f>('Raw data'!Q70-'Raw data'!R70)*100/'Raw data'!Q70</f>
        <v>97.13147410358566</v>
      </c>
    </row>
    <row r="71" spans="1:6" ht="19.95" customHeight="1" x14ac:dyDescent="0.25">
      <c r="A71" s="32">
        <f>((('Raw data'!B71+'Raw data'!D71)/24)*('Raw data'!G71/1000))/'plant information'!$B$20</f>
        <v>2.5685441625207295</v>
      </c>
      <c r="B71" s="33">
        <f>'Raw data'!B71/'plant information'!$B$20</f>
        <v>20.363184079601989</v>
      </c>
      <c r="C71" s="33">
        <f>('plant information'!$B$22/('Raw data'!B71+'Raw data'!D71))*24</f>
        <v>2.983791406754972</v>
      </c>
      <c r="D71" s="33">
        <f>('Raw data'!M71-'Raw data'!N71)*100/'Raw data'!M71</f>
        <v>94.230769230769226</v>
      </c>
      <c r="E71" s="51">
        <f>('Raw data'!O71-'Raw data'!P71)*100/'Raw data'!O71</f>
        <v>94.493392070484575</v>
      </c>
      <c r="F71" s="37">
        <f>('Raw data'!Q71-'Raw data'!R71)*100/'Raw data'!Q71</f>
        <v>97.177419354838705</v>
      </c>
    </row>
    <row r="72" spans="1:6" ht="19.95" customHeight="1" x14ac:dyDescent="0.25">
      <c r="A72" s="32">
        <f>((('Raw data'!B72+'Raw data'!D72)/24)*('Raw data'!G72/1000))/'plant information'!$B$20</f>
        <v>2.4916991397180763</v>
      </c>
      <c r="B72" s="33">
        <f>'Raw data'!B72/'plant information'!$B$20</f>
        <v>19.539800995024876</v>
      </c>
      <c r="C72" s="33">
        <f>('plant information'!$B$22/('Raw data'!B72+'Raw data'!D72))*24</f>
        <v>3.1095246920046087</v>
      </c>
      <c r="D72" s="33">
        <f>('Raw data'!M72-'Raw data'!N72)*100/'Raw data'!M72</f>
        <v>93.788819875776397</v>
      </c>
      <c r="E72" s="51">
        <f>('Raw data'!O72-'Raw data'!P72)*100/'Raw data'!O72</f>
        <v>93.959731543624159</v>
      </c>
      <c r="F72" s="37">
        <f>('Raw data'!Q72-'Raw data'!R72)*100/'Raw data'!Q72</f>
        <v>97.301587301587304</v>
      </c>
    </row>
    <row r="73" spans="1:6" ht="19.95" customHeight="1" x14ac:dyDescent="0.25">
      <c r="A73" s="32">
        <f>((('Raw data'!B73+'Raw data'!D73)/24)*('Raw data'!G73/1000))/'plant information'!$B$20</f>
        <v>2.5912164583333333</v>
      </c>
      <c r="B73" s="33">
        <f>'Raw data'!B73/'plant information'!$B$20</f>
        <v>20.257462686567163</v>
      </c>
      <c r="C73" s="33">
        <f>('plant information'!$B$22/('Raw data'!B73+'Raw data'!D73))*24</f>
        <v>2.9993634746357465</v>
      </c>
      <c r="D73" s="33">
        <f>('Raw data'!M73-'Raw data'!N73)*100/'Raw data'!M73</f>
        <v>91.503267973856211</v>
      </c>
      <c r="E73" s="51">
        <f>('Raw data'!O73-'Raw data'!P73)*100/'Raw data'!O73</f>
        <v>93.888888888888886</v>
      </c>
      <c r="F73" s="37">
        <f>('Raw data'!Q73-'Raw data'!R73)*100/'Raw data'!Q73</f>
        <v>96.463414634146346</v>
      </c>
    </row>
    <row r="74" spans="1:6" ht="19.95" customHeight="1" x14ac:dyDescent="0.25">
      <c r="A74" s="32">
        <f>((('Raw data'!B74+'Raw data'!D74)/24)*('Raw data'!G74/1000))/'plant information'!$B$20</f>
        <v>2.5739064676616921</v>
      </c>
      <c r="B74" s="33">
        <f>'Raw data'!B74/'plant information'!$B$20</f>
        <v>20.363184079601989</v>
      </c>
      <c r="C74" s="33">
        <f>('plant information'!$B$22/('Raw data'!B74+'Raw data'!D74))*24</f>
        <v>2.983791406754972</v>
      </c>
      <c r="D74" s="33">
        <f>('Raw data'!M74-'Raw data'!N74)*100/'Raw data'!M74</f>
        <v>95.172413793103445</v>
      </c>
      <c r="E74" s="51">
        <f>('Raw data'!O74-'Raw data'!P74)*100/'Raw data'!O74</f>
        <v>95.944444444444443</v>
      </c>
      <c r="F74" s="37">
        <f>('Raw data'!Q74-'Raw data'!R74)*100/'Raw data'!Q74</f>
        <v>97.559055118110237</v>
      </c>
    </row>
    <row r="75" spans="1:6" ht="19.95" customHeight="1" x14ac:dyDescent="0.25">
      <c r="A75" s="32">
        <f>((('Raw data'!B75+'Raw data'!D75)/24)*('Raw data'!G75/1000))/'plant information'!$B$20</f>
        <v>2.6406577010779433</v>
      </c>
      <c r="B75" s="33">
        <f>'Raw data'!B75/'plant information'!$B$20</f>
        <v>20.740049751243781</v>
      </c>
      <c r="C75" s="33">
        <f>('plant information'!$B$22/('Raw data'!B75+'Raw data'!D75))*24</f>
        <v>2.9295731880894995</v>
      </c>
      <c r="D75" s="33">
        <f>('Raw data'!M75-'Raw data'!N75)*100/'Raw data'!M75</f>
        <v>94.193548387096769</v>
      </c>
      <c r="E75" s="51">
        <f>('Raw data'!O75-'Raw data'!P75)*100/'Raw data'!O75</f>
        <v>94.259259259259252</v>
      </c>
      <c r="F75" s="3">
        <f>('Raw data'!Q75-'Raw data'!R75)*100/'Raw data'!Q75</f>
        <v>97.2</v>
      </c>
    </row>
    <row r="76" spans="1:6" ht="19.95" customHeight="1" x14ac:dyDescent="0.25">
      <c r="A76" s="32">
        <f>((('Raw data'!B76+'Raw data'!D76)/24)*('Raw data'!G76/1000))/'plant information'!$B$20</f>
        <v>2.615522468905473</v>
      </c>
      <c r="B76" s="33">
        <f>'Raw data'!B76/'plant information'!$B$20</f>
        <v>20.405472636815919</v>
      </c>
      <c r="C76" s="33">
        <f>('plant information'!$B$22/('Raw data'!B76+'Raw data'!D76))*24</f>
        <v>2.9776077600507378</v>
      </c>
      <c r="D76" s="33">
        <f>('Raw data'!M76-'Raw data'!N76)*100/'Raw data'!M76</f>
        <v>90.148148148148152</v>
      </c>
      <c r="E76" s="51">
        <f>('Raw data'!O76-'Raw data'!P76)*100/'Raw data'!O76</f>
        <v>92.962962962962962</v>
      </c>
      <c r="F76" s="37">
        <f>('Raw data'!Q76-'Raw data'!R76)*100/'Raw data'!Q76</f>
        <v>96.356275303643727</v>
      </c>
    </row>
    <row r="77" spans="1:6" ht="19.95" customHeight="1" x14ac:dyDescent="0.25">
      <c r="A77" s="32">
        <f>((('Raw data'!B77+'Raw data'!D77)/24)*('Raw data'!G77/1000))/'plant information'!$B$20</f>
        <v>2.6177105265339962</v>
      </c>
      <c r="B77" s="33">
        <f>'Raw data'!B77/'plant information'!$B$20</f>
        <v>20.475124378109452</v>
      </c>
      <c r="C77" s="33">
        <f>('plant information'!$B$22/('Raw data'!B77+'Raw data'!D77))*24</f>
        <v>2.9674786120393879</v>
      </c>
      <c r="D77" s="33">
        <f>('Raw data'!M77-'Raw data'!N77)*100/'Raw data'!M77</f>
        <v>95</v>
      </c>
      <c r="E77" s="51">
        <f>('Raw data'!O77-'Raw data'!P77)*100/'Raw data'!O77</f>
        <v>94.339622641509436</v>
      </c>
      <c r="F77" s="37">
        <f>('Raw data'!Q77-'Raw data'!R77)*100/'Raw data'!Q77</f>
        <v>97.391304347826093</v>
      </c>
    </row>
    <row r="78" spans="1:6" ht="19.95" customHeight="1" x14ac:dyDescent="0.25">
      <c r="A78" s="32">
        <f>((('Raw data'!B78+'Raw data'!D78)/24)*('Raw data'!G78/1000))/'plant information'!$B$20</f>
        <v>2.5673603907545606</v>
      </c>
      <c r="B78" s="33">
        <f>'Raw data'!B78/'plant information'!$B$20</f>
        <v>20.364427860696516</v>
      </c>
      <c r="C78" s="33">
        <f>('plant information'!$B$22/('Raw data'!B78+'Raw data'!D78))*24</f>
        <v>2.9836091682277166</v>
      </c>
      <c r="D78" s="33">
        <f>('Raw data'!M78-'Raw data'!N78)*100/'Raw data'!M78</f>
        <v>90.5</v>
      </c>
      <c r="E78" s="51">
        <f>('Raw data'!O78-'Raw data'!P78)*100/'Raw data'!O78</f>
        <v>92.65306122448979</v>
      </c>
      <c r="F78" s="37">
        <f>('Raw data'!Q78-'Raw data'!R78)*100/'Raw data'!Q78</f>
        <v>96.015936254980076</v>
      </c>
    </row>
    <row r="79" spans="1:6" ht="19.95" customHeight="1" x14ac:dyDescent="0.25">
      <c r="A79" s="32">
        <f>((('Raw data'!B79+'Raw data'!D79)/24)*('Raw data'!G79/1000))/'plant information'!$B$20</f>
        <v>2.6209867174543948</v>
      </c>
      <c r="B79" s="33">
        <f>'Raw data'!B79/'plant information'!$B$20</f>
        <v>20.364427860696516</v>
      </c>
      <c r="C79" s="33">
        <f>('plant information'!$B$22/('Raw data'!B79+'Raw data'!D79))*24</f>
        <v>2.9836091682277166</v>
      </c>
      <c r="D79" s="33">
        <f>('Raw data'!M79-'Raw data'!N79)*100/'Raw data'!M79</f>
        <v>92</v>
      </c>
      <c r="E79" s="51">
        <f>('Raw data'!O79-'Raw data'!P79)*100/'Raw data'!O79</f>
        <v>93.370370370370367</v>
      </c>
      <c r="F79" s="37">
        <f>('Raw data'!Q79-'Raw data'!R79)*100/'Raw data'!Q79</f>
        <v>95.967741935483872</v>
      </c>
    </row>
    <row r="80" spans="1:6" ht="19.95" customHeight="1" x14ac:dyDescent="0.25">
      <c r="A80" s="32">
        <f>((('Raw data'!B80+'Raw data'!D80)/24)*('Raw data'!G80/1000))/'plant information'!$B$20</f>
        <v>2.5901564925373126</v>
      </c>
      <c r="B80" s="33">
        <f>'Raw data'!B80/'plant information'!$B$20</f>
        <v>20.406716417910449</v>
      </c>
      <c r="C80" s="33">
        <f>('plant information'!$B$22/('Raw data'!B80+'Raw data'!D80))*24</f>
        <v>2.9774262760646315</v>
      </c>
      <c r="D80" s="33">
        <f>('Raw data'!M80-'Raw data'!N80)*100/'Raw data'!M80</f>
        <v>92.20779220779221</v>
      </c>
      <c r="E80" s="51">
        <f>('Raw data'!O80-'Raw data'!P80)*100/'Raw data'!O80</f>
        <v>92.6</v>
      </c>
      <c r="F80" s="37">
        <f>('Raw data'!Q80-'Raw data'!R80)*100/'Raw data'!Q80</f>
        <v>96.626984126984127</v>
      </c>
    </row>
    <row r="81" spans="1:6" ht="19.95" customHeight="1" x14ac:dyDescent="0.25">
      <c r="A81" s="32">
        <f>((('Raw data'!B81+'Raw data'!D81)/24)*('Raw data'!G81/1000))/'plant information'!$B$20</f>
        <v>2.6092827135157548</v>
      </c>
      <c r="B81" s="33">
        <f>'Raw data'!B81/'plant information'!$B$20</f>
        <v>20.409203980099502</v>
      </c>
      <c r="C81" s="33">
        <f>('plant information'!$B$22/('Raw data'!B81+'Raw data'!D81))*24</f>
        <v>2.9770633744525812</v>
      </c>
      <c r="D81" s="33">
        <f>('Raw data'!M81-'Raw data'!N81)*100/'Raw data'!M81</f>
        <v>94.117647058823536</v>
      </c>
      <c r="E81" s="51">
        <f>('Raw data'!O81-'Raw data'!P81)*100/'Raw data'!O81</f>
        <v>93.474999999999994</v>
      </c>
      <c r="F81" s="37">
        <f>('Raw data'!Q81-'Raw data'!R81)*100/'Raw data'!Q81</f>
        <v>97.560975609756099</v>
      </c>
    </row>
    <row r="82" spans="1:6" ht="19.95" customHeight="1" x14ac:dyDescent="0.25">
      <c r="A82" s="32">
        <f>((('Raw data'!B82+'Raw data'!D82)/24)*('Raw data'!G82/1000))/'plant information'!$B$20</f>
        <v>2.5684039800995024</v>
      </c>
      <c r="B82" s="33">
        <f>'Raw data'!B82/'plant information'!$B$20</f>
        <v>20.319651741293534</v>
      </c>
      <c r="C82" s="33">
        <f>('plant information'!$B$22/('Raw data'!B82+'Raw data'!D82))*24</f>
        <v>2.9901838104543312</v>
      </c>
      <c r="D82" s="33">
        <f>('Raw data'!M82-'Raw data'!N82)*100/'Raw data'!M82</f>
        <v>93.4375</v>
      </c>
      <c r="E82" s="51">
        <f>('Raw data'!O82-'Raw data'!P82)*100/'Raw data'!O82</f>
        <v>93.102040816326536</v>
      </c>
      <c r="F82" s="3">
        <f>('Raw data'!Q82-'Raw data'!R82)*100/'Raw data'!Q82</f>
        <v>97.16</v>
      </c>
    </row>
    <row r="83" spans="1:6" ht="19.95" customHeight="1" x14ac:dyDescent="0.25">
      <c r="A83" s="32">
        <f>((('Raw data'!B83+'Raw data'!D83)/24)*('Raw data'!G83/1000))/'plant information'!$B$20</f>
        <v>2.5597336318407962</v>
      </c>
      <c r="B83" s="33">
        <f>'Raw data'!B83/'plant information'!$B$20</f>
        <v>20.208955223880597</v>
      </c>
      <c r="C83" s="33">
        <f>('plant information'!$B$22/('Raw data'!B83+'Raw data'!D83))*24</f>
        <v>3.0065628330497538</v>
      </c>
      <c r="D83" s="33">
        <f>('Raw data'!M83-'Raw data'!N83)*100/'Raw data'!M83</f>
        <v>94.183006535947712</v>
      </c>
      <c r="E83" s="51">
        <f>('Raw data'!O83-'Raw data'!P83)*100/'Raw data'!O83</f>
        <v>95.090909090909093</v>
      </c>
      <c r="F83" s="37">
        <f>('Raw data'!Q83-'Raw data'!R83)*100/'Raw data'!Q83</f>
        <v>96.889763779527556</v>
      </c>
    </row>
    <row r="84" spans="1:6" ht="19.95" customHeight="1" x14ac:dyDescent="0.25">
      <c r="A84" s="32">
        <f>((('Raw data'!B84+'Raw data'!D84)/24)*('Raw data'!G84/1000))/'plant information'!$B$20</f>
        <v>2.5727611805555561</v>
      </c>
      <c r="B84" s="33">
        <f>'Raw data'!B84/'plant information'!$B$20</f>
        <v>20.113184079601989</v>
      </c>
      <c r="C84" s="33">
        <f>('plant information'!$B$22/('Raw data'!B84+'Raw data'!D84))*24</f>
        <v>3.0208789135732115</v>
      </c>
      <c r="D84" s="33">
        <f>('Raw data'!M84-'Raw data'!N84)*100/'Raw data'!M84</f>
        <v>94.117647058823536</v>
      </c>
      <c r="E84" s="51">
        <f>('Raw data'!O84-'Raw data'!P84)*100/'Raw data'!O84</f>
        <v>94.4</v>
      </c>
      <c r="F84" s="37">
        <f>('Raw data'!Q84-'Raw data'!R84)*100/'Raw data'!Q84</f>
        <v>96.787148594377513</v>
      </c>
    </row>
    <row r="85" spans="1:6" ht="19.95" customHeight="1" x14ac:dyDescent="0.25">
      <c r="A85" s="32">
        <f>((('Raw data'!B85+'Raw data'!D85)/24)*('Raw data'!G85/1000))/'plant information'!$B$20</f>
        <v>2.4970620999170814</v>
      </c>
      <c r="B85" s="33">
        <f>'Raw data'!B85/'plant information'!$B$20</f>
        <v>19.491293532338307</v>
      </c>
      <c r="C85" s="33">
        <f>('plant information'!$B$22/('Raw data'!B85+'Raw data'!D85))*24</f>
        <v>3.1172632832233047</v>
      </c>
      <c r="D85" s="33">
        <f>('Raw data'!M85-'Raw data'!N85)*100/'Raw data'!M85</f>
        <v>95.243902439024382</v>
      </c>
      <c r="E85" s="51">
        <f>('Raw data'!O85-'Raw data'!P85)*100/'Raw data'!O85</f>
        <v>93.65</v>
      </c>
      <c r="F85" s="37">
        <f>('Raw data'!Q85-'Raw data'!R85)*100/'Raw data'!Q85</f>
        <v>97.569721115537845</v>
      </c>
    </row>
    <row r="86" spans="1:6" ht="19.95" customHeight="1" x14ac:dyDescent="0.25">
      <c r="A86" s="32">
        <f>((('Raw data'!B86+'Raw data'!D86)/24)*('Raw data'!G86/1000))/'plant information'!$B$20</f>
        <v>2.4059967495854062</v>
      </c>
      <c r="B86" s="33">
        <f>'Raw data'!B86/'plant information'!$B$20</f>
        <v>19.024875621890548</v>
      </c>
      <c r="C86" s="33">
        <f>('plant information'!$B$22/('Raw data'!B86+'Raw data'!D86))*24</f>
        <v>3.1936867750648803</v>
      </c>
      <c r="D86" s="33">
        <f>('Raw data'!M86-'Raw data'!N86)*100/'Raw data'!M86</f>
        <v>92.48366013071896</v>
      </c>
      <c r="E86" s="51">
        <f>('Raw data'!O86-'Raw data'!P86)*100/'Raw data'!O86</f>
        <v>91.891891891891888</v>
      </c>
      <c r="F86" s="37">
        <f>('Raw data'!Q86-'Raw data'!R86)*100/'Raw data'!Q86</f>
        <v>96.639676113360323</v>
      </c>
    </row>
    <row r="87" spans="1:6" ht="19.95" customHeight="1" x14ac:dyDescent="0.25">
      <c r="A87" s="32">
        <f>((('Raw data'!B87+'Raw data'!D87)/24)*('Raw data'!G87/1000))/'plant information'!$B$20</f>
        <v>2.4021535240464349</v>
      </c>
      <c r="B87" s="33">
        <f>'Raw data'!B87/'plant information'!$B$20</f>
        <v>18.808457711442784</v>
      </c>
      <c r="C87" s="33">
        <f>('plant information'!$B$22/('Raw data'!B87+'Raw data'!D87))*24</f>
        <v>3.230434658867372</v>
      </c>
      <c r="D87" s="33">
        <f>('Raw data'!M87-'Raw data'!N87)*100/'Raw data'!M87</f>
        <v>91.724137931034477</v>
      </c>
      <c r="E87" s="51">
        <f>('Raw data'!O87-'Raw data'!P87)*100/'Raw data'!O87</f>
        <v>91.8</v>
      </c>
      <c r="F87" s="37">
        <f>('Raw data'!Q87-'Raw data'!R87)*100/'Raw data'!Q87</f>
        <v>96.324110671936765</v>
      </c>
    </row>
    <row r="88" spans="1:6" ht="19.95" customHeight="1" x14ac:dyDescent="0.25">
      <c r="A88" s="32">
        <f>((('Raw data'!B88+'Raw data'!D88)/24)*('Raw data'!G88/1000))/'plant information'!$B$20</f>
        <v>2.6903268221393035</v>
      </c>
      <c r="B88" s="33">
        <f>'Raw data'!B88/'plant information'!$B$20</f>
        <v>18.558457711442784</v>
      </c>
      <c r="C88" s="33">
        <f>('plant information'!$B$22/('Raw data'!B88+'Raw data'!D88))*24</f>
        <v>3.2739516729034519</v>
      </c>
      <c r="D88" s="33">
        <f>('Raw data'!M88-'Raw data'!N88)*100/'Raw data'!M88</f>
        <v>94.838709677419359</v>
      </c>
      <c r="E88" s="51">
        <f>('Raw data'!O88-'Raw data'!P88)*100/'Raw data'!O88</f>
        <v>95.18518518518519</v>
      </c>
      <c r="F88" s="37">
        <f>('Raw data'!Q88-'Raw data'!R88)*100/'Raw data'!Q88</f>
        <v>97.016129032258064</v>
      </c>
    </row>
    <row r="89" spans="1:6" ht="19.95" customHeight="1" x14ac:dyDescent="0.25">
      <c r="A89" s="32">
        <f>((('Raw data'!B89+'Raw data'!D89)/24)*('Raw data'!G89/1000))/'plant information'!$B$20</f>
        <v>2.3512286567164176</v>
      </c>
      <c r="B89" s="33">
        <f>'Raw data'!B89/'plant information'!$B$20</f>
        <v>18.447761194029852</v>
      </c>
      <c r="C89" s="33">
        <f>('plant information'!$B$22/('Raw data'!B89+'Raw data'!D89))*24</f>
        <v>3.2935971488263491</v>
      </c>
      <c r="D89" s="33">
        <f>('Raw data'!M89-'Raw data'!N89)*100/'Raw data'!M89</f>
        <v>95.560109289617486</v>
      </c>
      <c r="E89" s="51">
        <f>('Raw data'!O89-'Raw data'!P89)*100/'Raw data'!O89</f>
        <v>94.851063829787236</v>
      </c>
      <c r="F89" s="37">
        <f>('Raw data'!Q89-'Raw data'!R89)*100/'Raw data'!Q89</f>
        <v>97.579365079365076</v>
      </c>
    </row>
    <row r="90" spans="1:6" ht="19.95" customHeight="1" x14ac:dyDescent="0.25">
      <c r="A90" s="32">
        <f>((('Raw data'!B90+'Raw data'!D90)/24)*('Raw data'!G90/1000))/'plant information'!$B$20</f>
        <v>2.2757261753731344</v>
      </c>
      <c r="B90" s="33">
        <f>'Raw data'!B90/'plant information'!$B$20</f>
        <v>18.03233830845771</v>
      </c>
      <c r="C90" s="33">
        <f>('plant information'!$B$22/('Raw data'!B90+'Raw data'!D90))*24</f>
        <v>3.3694739213265557</v>
      </c>
      <c r="D90" s="33">
        <f>('Raw data'!M90-'Raw data'!N90)*100/'Raw data'!M90</f>
        <v>93.055555555555557</v>
      </c>
      <c r="E90" s="51">
        <f>('Raw data'!O90-'Raw data'!P90)*100/'Raw data'!O90</f>
        <v>93.888888888888886</v>
      </c>
      <c r="F90" s="37">
        <f>('Raw data'!Q90-'Raw data'!R90)*100/'Raw data'!Q90</f>
        <v>96.58536585365853</v>
      </c>
    </row>
    <row r="91" spans="1:6" ht="19.95" customHeight="1" x14ac:dyDescent="0.25">
      <c r="A91" s="32">
        <f>((('Raw data'!B91+'Raw data'!D91)/24)*('Raw data'!G91/1000))/'plant information'!$B$20</f>
        <v>2.1689233830845769</v>
      </c>
      <c r="B91" s="33">
        <f>'Raw data'!B91/'plant information'!$B$20</f>
        <v>17.159203980099502</v>
      </c>
      <c r="C91" s="33">
        <f>('plant information'!$B$22/('Raw data'!B91+'Raw data'!D91))*24</f>
        <v>3.5409272913447669</v>
      </c>
      <c r="D91" s="33">
        <f>('Raw data'!M91-'Raw data'!N91)*100/'Raw data'!M91</f>
        <v>95.238095238095241</v>
      </c>
      <c r="E91" s="51">
        <f>('Raw data'!O91-'Raw data'!P91)*100/'Raw data'!O91</f>
        <v>95</v>
      </c>
      <c r="F91" s="37">
        <f>('Raw data'!Q91-'Raw data'!R91)*100/'Raw data'!Q91</f>
        <v>97.808764940239044</v>
      </c>
    </row>
    <row r="92" spans="1:6" ht="19.95" customHeight="1" x14ac:dyDescent="0.25">
      <c r="A92" s="32">
        <f>((('Raw data'!B92+'Raw data'!D92)/24)*('Raw data'!G92/1000))/'plant information'!$B$20</f>
        <v>2.1978207773631842</v>
      </c>
      <c r="B92" s="33">
        <f>'Raw data'!B92/'plant information'!$B$20</f>
        <v>16.742537313432837</v>
      </c>
      <c r="C92" s="33">
        <f>('plant information'!$B$22/('Raw data'!B92+'Raw data'!D92))*24</f>
        <v>3.6290493211048513</v>
      </c>
      <c r="D92" s="33">
        <f>('Raw data'!M92-'Raw data'!N92)*100/'Raw data'!M92</f>
        <v>93.214285714285708</v>
      </c>
      <c r="E92" s="51">
        <f>('Raw data'!O92-'Raw data'!P92)*100/'Raw data'!O92</f>
        <v>90.598290598290603</v>
      </c>
      <c r="F92" s="37">
        <f>('Raw data'!Q92-'Raw data'!R92)*100/'Raw data'!Q92</f>
        <v>97.108433734939766</v>
      </c>
    </row>
    <row r="93" spans="1:6" ht="19.95" customHeight="1" x14ac:dyDescent="0.25">
      <c r="A93" s="32">
        <f>((('Raw data'!B93+'Raw data'!D93)/24)*('Raw data'!G93/1000))/'plant information'!$B$20</f>
        <v>2.1710515029021558</v>
      </c>
      <c r="B93" s="33">
        <f>'Raw data'!B93/'plant information'!$B$20</f>
        <v>16.374378109452735</v>
      </c>
      <c r="C93" s="33">
        <f>('plant information'!$B$22/('Raw data'!B93+'Raw data'!D93))*24</f>
        <v>3.7106443533150326</v>
      </c>
      <c r="D93" s="33">
        <f>('Raw data'!M93-'Raw data'!N93)*100/'Raw data'!M93</f>
        <v>93.333333333333329</v>
      </c>
      <c r="E93" s="51">
        <f>('Raw data'!O93-'Raw data'!P93)*100/'Raw data'!O93</f>
        <v>91.627906976744185</v>
      </c>
      <c r="F93" s="37">
        <f>('Raw data'!Q93-'Raw data'!R93)*100/'Raw data'!Q93</f>
        <v>97.047244094488192</v>
      </c>
    </row>
    <row r="94" spans="1:6" ht="19.95" customHeight="1" x14ac:dyDescent="0.25">
      <c r="A94" s="32">
        <f>((('Raw data'!B94+'Raw data'!D94)/24)*('Raw data'!G94/1000))/'plant information'!$B$20</f>
        <v>2.07112993159204</v>
      </c>
      <c r="B94" s="33">
        <f>'Raw data'!B94/'plant information'!$B$20</f>
        <v>15.753731343283581</v>
      </c>
      <c r="C94" s="33">
        <f>('plant information'!$B$22/('Raw data'!B94+'Raw data'!D94))*24</f>
        <v>3.8568319052102016</v>
      </c>
      <c r="D94" s="33">
        <f>('Raw data'!M94-'Raw data'!N94)*100/'Raw data'!M94</f>
        <v>93.271604938271608</v>
      </c>
      <c r="E94" s="51">
        <f>('Raw data'!O94-'Raw data'!P94)*100/'Raw data'!O94</f>
        <v>90.988372093023258</v>
      </c>
      <c r="F94" s="37">
        <f>('Raw data'!Q94-'Raw data'!R94)*100/'Raw data'!Q94</f>
        <v>96.356275303643727</v>
      </c>
    </row>
    <row r="95" spans="1:6" ht="19.95" customHeight="1" x14ac:dyDescent="0.25">
      <c r="A95" s="32">
        <f>((('Raw data'!B95+'Raw data'!D95)/24)*('Raw data'!G95/1000))/'plant information'!$B$20</f>
        <v>2.1111294952321722</v>
      </c>
      <c r="B95" s="33">
        <f>'Raw data'!B95/'plant information'!$B$20</f>
        <v>15.804726368159203</v>
      </c>
      <c r="C95" s="33">
        <f>('plant information'!$B$22/('Raw data'!B95+'Raw data'!D95))*24</f>
        <v>3.8443875746747773</v>
      </c>
      <c r="D95" s="33">
        <f>('Raw data'!M95-'Raw data'!N95)*100/'Raw data'!M95</f>
        <v>94</v>
      </c>
      <c r="E95" s="51">
        <f>('Raw data'!O95-'Raw data'!P95)*100/'Raw data'!O95</f>
        <v>91.789772727272734</v>
      </c>
      <c r="F95" s="3">
        <f>('Raw data'!Q95-'Raw data'!R95)*100/'Raw data'!Q95</f>
        <v>96.8</v>
      </c>
    </row>
    <row r="96" spans="1:6" ht="19.95" customHeight="1" x14ac:dyDescent="0.25">
      <c r="A96" s="32">
        <f>((('Raw data'!B96+'Raw data'!D96)/24)*('Raw data'!G96/1000))/'plant information'!$B$20</f>
        <v>2.0651322201492537</v>
      </c>
      <c r="B96" s="33">
        <f>'Raw data'!B96/'plant information'!$B$20</f>
        <v>15.700248756218905</v>
      </c>
      <c r="C96" s="33">
        <f>('plant information'!$B$22/('Raw data'!B96+'Raw data'!D96))*24</f>
        <v>3.86997012686306</v>
      </c>
      <c r="D96" s="33">
        <f>('Raw data'!M96-'Raw data'!N96)*100/'Raw data'!M96</f>
        <v>94.444444444444443</v>
      </c>
      <c r="E96" s="51">
        <f>('Raw data'!O96-'Raw data'!P96)*100/'Raw data'!O96</f>
        <v>93.75</v>
      </c>
      <c r="F96" s="37">
        <f>('Raw data'!Q96-'Raw data'!R96)*100/'Raw data'!Q96</f>
        <v>97.509881422924906</v>
      </c>
    </row>
    <row r="97" spans="1:6" ht="19.95" customHeight="1" x14ac:dyDescent="0.25">
      <c r="A97" s="32">
        <f>((('Raw data'!B97+'Raw data'!D97)/24)*('Raw data'!G97/1000))/'plant information'!$B$20</f>
        <v>2.4957293843283583</v>
      </c>
      <c r="B97" s="33">
        <f>'Raw data'!B97/'plant information'!$B$20</f>
        <v>15.600746268656716</v>
      </c>
      <c r="C97" s="33">
        <f>('plant information'!$B$22/('Raw data'!B97+'Raw data'!D97))*24</f>
        <v>3.8946530265002322</v>
      </c>
      <c r="D97" s="33">
        <f>('Raw data'!M97-'Raw data'!N97)*100/'Raw data'!M97</f>
        <v>94.354838709677423</v>
      </c>
      <c r="E97" s="51">
        <f>('Raw data'!O97-'Raw data'!P97)*100/'Raw data'!O97</f>
        <v>93.883792048929664</v>
      </c>
      <c r="F97" s="37">
        <f>('Raw data'!Q97-'Raw data'!R97)*100/'Raw data'!Q97</f>
        <v>97.387755102040813</v>
      </c>
    </row>
    <row r="98" spans="1:6" ht="19.95" customHeight="1" x14ac:dyDescent="0.25">
      <c r="A98" s="32">
        <f>((('Raw data'!B98+'Raw data'!D98)/24)*('Raw data'!G98/1000))/'plant information'!$B$20</f>
        <v>2.0690728855721394</v>
      </c>
      <c r="B98" s="33">
        <f>'Raw data'!B98/'plant information'!$B$20</f>
        <v>15.497512437810945</v>
      </c>
      <c r="C98" s="33">
        <f>('plant information'!$B$22/('Raw data'!B98+'Raw data'!D98))*24</f>
        <v>3.9205965418452973</v>
      </c>
      <c r="D98" s="33">
        <f>('Raw data'!M98-'Raw data'!N98)*100/'Raw data'!M98</f>
        <v>92.261904761904759</v>
      </c>
      <c r="E98" s="51">
        <f>('Raw data'!O98-'Raw data'!P98)*100/'Raw data'!O98</f>
        <v>90.724637681159422</v>
      </c>
      <c r="F98" s="37">
        <f>('Raw data'!Q98-'Raw data'!R98)*100/'Raw data'!Q98</f>
        <v>96.812749003984067</v>
      </c>
    </row>
    <row r="99" spans="1:6" ht="19.95" customHeight="1" x14ac:dyDescent="0.25">
      <c r="A99" s="32">
        <f>((('Raw data'!B99+'Raw data'!D99)/24)*('Raw data'!G99/1000))/'plant information'!$B$20</f>
        <v>2.0319561504975123</v>
      </c>
      <c r="B99" s="33">
        <f>'Raw data'!B99/'plant information'!$B$20</f>
        <v>15.440298507462687</v>
      </c>
      <c r="C99" s="33">
        <f>('plant information'!$B$22/('Raw data'!B99+'Raw data'!D99))*24</f>
        <v>3.935124288012922</v>
      </c>
      <c r="D99" s="33">
        <f>('Raw data'!M99-'Raw data'!N99)*100/'Raw data'!M99</f>
        <v>93.4</v>
      </c>
      <c r="E99" s="51">
        <f>('Raw data'!O99-'Raw data'!P99)*100/'Raw data'!O99</f>
        <v>91.620795107033643</v>
      </c>
      <c r="F99" s="37">
        <f>('Raw data'!Q99-'Raw data'!R99)*100/'Raw data'!Q99</f>
        <v>97.177419354838705</v>
      </c>
    </row>
    <row r="100" spans="1:6" ht="19.95" customHeight="1" x14ac:dyDescent="0.25">
      <c r="A100" s="32">
        <f>((('Raw data'!B100+'Raw data'!D100)/24)*('Raw data'!G100/1000))/'plant information'!$B$20</f>
        <v>2.0780472636815919</v>
      </c>
      <c r="B100" s="33">
        <f>'Raw data'!B100/'plant information'!$B$20</f>
        <v>15.298507462686567</v>
      </c>
      <c r="C100" s="33">
        <f>('plant information'!$B$22/('Raw data'!B100+'Raw data'!D100))*24</f>
        <v>3.8497680682328292</v>
      </c>
      <c r="D100" s="33">
        <f>('Raw data'!M100-'Raw data'!N100)*100/'Raw data'!M100</f>
        <v>92.352941176470594</v>
      </c>
      <c r="E100" s="51">
        <f>('Raw data'!O100-'Raw data'!P100)*100/'Raw data'!O100</f>
        <v>93</v>
      </c>
      <c r="F100" s="37">
        <f>('Raw data'!Q100-'Raw data'!R100)*100/'Raw data'!Q100</f>
        <v>96</v>
      </c>
    </row>
    <row r="101" spans="1:6" ht="19.95" customHeight="1" x14ac:dyDescent="0.25">
      <c r="A101" s="32">
        <f>((('Raw data'!B101+'Raw data'!D101)/24)*('Raw data'!G101/1000))/'plant information'!$B$20</f>
        <v>2.0166688971807631</v>
      </c>
      <c r="B101" s="33">
        <f>'Raw data'!B101/'plant information'!$B$20</f>
        <v>15.293532338308458</v>
      </c>
      <c r="C101" s="33">
        <f>('plant information'!$B$22/('Raw data'!B101+'Raw data'!D101))*24</f>
        <v>3.9728881678100523</v>
      </c>
      <c r="D101" s="33">
        <f>('Raw data'!M101-'Raw data'!N101)*100/'Raw data'!M101</f>
        <v>91.869918699186996</v>
      </c>
      <c r="E101" s="51">
        <f>('Raw data'!O101-'Raw data'!P101)*100/'Raw data'!O101</f>
        <v>91.515151515151516</v>
      </c>
      <c r="F101" s="37">
        <f>('Raw data'!Q101-'Raw data'!R101)*100/'Raw data'!Q101</f>
        <v>96.747967479674799</v>
      </c>
    </row>
    <row r="102" spans="1:6" ht="19.95" customHeight="1" x14ac:dyDescent="0.25">
      <c r="A102" s="32">
        <f>((('Raw data'!B102+'Raw data'!D102)/24)*('Raw data'!G102/1000))/'plant information'!$B$20</f>
        <v>2.0177593231757873</v>
      </c>
      <c r="B102" s="33">
        <f>'Raw data'!B102/'plant information'!$B$20</f>
        <v>15.105721393034825</v>
      </c>
      <c r="C102" s="33">
        <f>('plant information'!$B$22/('Raw data'!B102+'Raw data'!D102))*24</f>
        <v>4.0222834838528128</v>
      </c>
      <c r="D102" s="33">
        <f>('Raw data'!M102-'Raw data'!N102)*100/'Raw data'!M102</f>
        <v>92.432432432432435</v>
      </c>
      <c r="E102" s="51">
        <f>('Raw data'!O102-'Raw data'!P102)*100/'Raw data'!O102</f>
        <v>91.409090909090907</v>
      </c>
      <c r="F102" s="37">
        <f>('Raw data'!Q102-'Raw data'!R102)*100/'Raw data'!Q102</f>
        <v>96.062992125984252</v>
      </c>
    </row>
    <row r="103" spans="1:6" ht="19.95" customHeight="1" x14ac:dyDescent="0.25">
      <c r="A103" s="32">
        <f>((('Raw data'!B103+'Raw data'!D103)/24)*('Raw data'!G103/1000))/'plant information'!$B$20</f>
        <v>2.0086280597014925</v>
      </c>
      <c r="B103" s="33">
        <f>'Raw data'!B103/'plant information'!$B$20</f>
        <v>15.134328358208956</v>
      </c>
      <c r="C103" s="33">
        <f>('plant information'!$B$22/('Raw data'!B103+'Raw data'!D103))*24</f>
        <v>4.0146805482735379</v>
      </c>
      <c r="D103" s="33">
        <f>('Raw data'!M103-'Raw data'!N103)*100/'Raw data'!M103</f>
        <v>92</v>
      </c>
      <c r="E103" s="51">
        <f>('Raw data'!O103-'Raw data'!P103)*100/'Raw data'!O103</f>
        <v>91.387387387387392</v>
      </c>
      <c r="F103" s="3">
        <f>('Raw data'!Q103-'Raw data'!R103)*100/'Raw data'!Q103</f>
        <v>96.04</v>
      </c>
    </row>
    <row r="104" spans="1:6" ht="19.95" customHeight="1" x14ac:dyDescent="0.25">
      <c r="A104" s="32">
        <f>((('Raw data'!B104+'Raw data'!D104)/24)*('Raw data'!G104/1000))/'plant information'!$B$20</f>
        <v>1.9751663847429517</v>
      </c>
      <c r="B104" s="33">
        <f>'Raw data'!B104/'plant information'!$B$20</f>
        <v>14.823383084577115</v>
      </c>
      <c r="C104" s="33">
        <f>('plant information'!$B$22/('Raw data'!B104+'Raw data'!D104))*24</f>
        <v>4.0988951931022326</v>
      </c>
      <c r="D104" s="33">
        <f>('Raw data'!M104-'Raw data'!N104)*100/'Raw data'!M104</f>
        <v>93.904109589041099</v>
      </c>
      <c r="E104" s="51">
        <f>('Raw data'!O104-'Raw data'!P104)*100/'Raw data'!O104</f>
        <v>91.476923076923072</v>
      </c>
      <c r="F104" s="37">
        <f>('Raw data'!Q104-'Raw data'!R104)*100/'Raw data'!Q104</f>
        <v>97.165991902834008</v>
      </c>
    </row>
    <row r="105" spans="1:6" ht="19.95" customHeight="1" x14ac:dyDescent="0.25">
      <c r="A105" s="32">
        <f>((('Raw data'!B105+'Raw data'!D105)/24)*('Raw data'!G105/1000))/'plant information'!$B$20</f>
        <v>1.9527213121890543</v>
      </c>
      <c r="B105" s="33">
        <f>'Raw data'!B105/'plant information'!$B$20</f>
        <v>14.823383084577115</v>
      </c>
      <c r="C105" s="33">
        <f>('plant information'!$B$22/('Raw data'!B105+'Raw data'!D105))*24</f>
        <v>4.0988951931022326</v>
      </c>
      <c r="D105" s="33">
        <f>('Raw data'!M105-'Raw data'!N105)*100/'Raw data'!M105</f>
        <v>92.121212121212125</v>
      </c>
      <c r="E105" s="51">
        <f>('Raw data'!O105-'Raw data'!P105)*100/'Raw data'!O105</f>
        <v>90.778688524590166</v>
      </c>
      <c r="F105" s="37">
        <f>('Raw data'!Q105-'Raw data'!R105)*100/'Raw data'!Q105</f>
        <v>95.652173913043484</v>
      </c>
    </row>
    <row r="106" spans="1:6" ht="19.95" customHeight="1" x14ac:dyDescent="0.25">
      <c r="A106" s="32">
        <f>((('Raw data'!B106+'Raw data'!D106)/24)*('Raw data'!G106/1000))/'plant information'!$B$20</f>
        <v>2.0001640547263682</v>
      </c>
      <c r="B106" s="33">
        <f>'Raw data'!B106/'plant information'!$B$20</f>
        <v>15.130597014925373</v>
      </c>
      <c r="C106" s="33">
        <f>('plant information'!$B$22/('Raw data'!B106+'Raw data'!D106))*24</f>
        <v>4.0156706051288458</v>
      </c>
      <c r="D106" s="33">
        <f>('Raw data'!M106-'Raw data'!N106)*100/'Raw data'!M106</f>
        <v>92.877697841726615</v>
      </c>
      <c r="E106" s="51">
        <f>('Raw data'!O106-'Raw data'!P106)*100/'Raw data'!O106</f>
        <v>93.1</v>
      </c>
      <c r="F106" s="37">
        <f>('Raw data'!Q106-'Raw data'!R106)*100/'Raw data'!Q106</f>
        <v>96.573705179282868</v>
      </c>
    </row>
    <row r="107" spans="1:6" ht="19.95" customHeight="1" x14ac:dyDescent="0.25">
      <c r="A107" s="32">
        <f>((('Raw data'!B107+'Raw data'!D107)/24)*('Raw data'!G107/1000))/'plant information'!$B$20</f>
        <v>1.9857121641791045</v>
      </c>
      <c r="B107" s="33">
        <f>'Raw data'!B107/'plant information'!$B$20</f>
        <v>15.134328358208956</v>
      </c>
      <c r="C107" s="33">
        <f>('plant information'!$B$22/('Raw data'!B107+'Raw data'!D107))*24</f>
        <v>4.0146805482735379</v>
      </c>
      <c r="D107" s="33">
        <f>('Raw data'!M107-'Raw data'!N107)*100/'Raw data'!M107</f>
        <v>93.860759493670898</v>
      </c>
      <c r="E107" s="51">
        <f>('Raw data'!O107-'Raw data'!P107)*100/'Raw data'!O107</f>
        <v>91.404011461318049</v>
      </c>
      <c r="F107" s="37">
        <f>('Raw data'!Q107-'Raw data'!R107)*100/'Raw data'!Q107</f>
        <v>96.774193548387103</v>
      </c>
    </row>
    <row r="108" spans="1:6" ht="19.95" customHeight="1" x14ac:dyDescent="0.25">
      <c r="A108" s="32">
        <f>((('Raw data'!B108+'Raw data'!D108)/24)*('Raw data'!G108/1000))/'plant information'!$B$20</f>
        <v>1.9538482587064681</v>
      </c>
      <c r="B108" s="33">
        <f>'Raw data'!B108/'plant information'!$B$20</f>
        <v>14.544776119402986</v>
      </c>
      <c r="C108" s="33">
        <f>('plant information'!$B$22/('Raw data'!B108+'Raw data'!D108))*24</f>
        <v>4.1251924063622365</v>
      </c>
      <c r="D108" s="33">
        <f>('Raw data'!M108-'Raw data'!N108)*100/'Raw data'!M108</f>
        <v>92.769230769230774</v>
      </c>
      <c r="E108" s="51">
        <f>('Raw data'!O108-'Raw data'!P108)*100/'Raw data'!O108</f>
        <v>92.011834319526628</v>
      </c>
      <c r="F108" s="37">
        <f>('Raw data'!Q108-'Raw data'!R108)*100/'Raw data'!Q108</f>
        <v>96.825396825396822</v>
      </c>
    </row>
    <row r="109" spans="1:6" ht="19.95" customHeight="1" x14ac:dyDescent="0.25">
      <c r="A109" s="32">
        <f>((('Raw data'!B109+'Raw data'!D109)/24)*('Raw data'!G109/1000))/'plant information'!$B$20</f>
        <v>1.9474999999999996</v>
      </c>
      <c r="B109" s="33">
        <f>'Raw data'!B109/'plant information'!$B$20</f>
        <v>14.533582089552239</v>
      </c>
      <c r="C109" s="33">
        <f>('plant information'!$B$22/('Raw data'!B109+'Raw data'!D109))*24</f>
        <v>4.1283697047496792</v>
      </c>
      <c r="D109" s="33">
        <f>('Raw data'!M109-'Raw data'!N109)*100/'Raw data'!M109</f>
        <v>93.673469387755091</v>
      </c>
      <c r="E109" s="51">
        <f>('Raw data'!O109-'Raw data'!P109)*100/'Raw data'!O109</f>
        <v>91.513353115726986</v>
      </c>
      <c r="F109" s="37">
        <f>('Raw data'!Q109-'Raw data'!R109)*100/'Raw data'!Q109</f>
        <v>96.463414634146346</v>
      </c>
    </row>
    <row r="110" spans="1:6" ht="19.95" customHeight="1" x14ac:dyDescent="0.25">
      <c r="A110" s="32">
        <f>((('Raw data'!B110+'Raw data'!D110)/24)*('Raw data'!G110/1000))/'plant information'!$B$20</f>
        <v>1.9946494195688225</v>
      </c>
      <c r="B110" s="33">
        <f>'Raw data'!B110/'plant information'!$B$20</f>
        <v>14.870646766169154</v>
      </c>
      <c r="C110" s="33">
        <f>('plant information'!$B$22/('Raw data'!B110+'Raw data'!D110))*24</f>
        <v>4.0347942455670793</v>
      </c>
      <c r="D110" s="33">
        <f>('Raw data'!M110-'Raw data'!N110)*100/'Raw data'!M110</f>
        <v>94.375</v>
      </c>
      <c r="E110" s="51">
        <f>('Raw data'!O110-'Raw data'!P110)*100/'Raw data'!O110</f>
        <v>93.495934959349597</v>
      </c>
      <c r="F110" s="3">
        <f>('Raw data'!Q110-'Raw data'!R110)*100/'Raw data'!Q110</f>
        <v>97.08</v>
      </c>
    </row>
    <row r="111" spans="1:6" ht="19.95" customHeight="1" x14ac:dyDescent="0.25">
      <c r="A111" s="32">
        <f>((('Raw data'!B111+'Raw data'!D111)/24)*('Raw data'!G111/1000))/'plant information'!$B$20</f>
        <v>2.0014729684908787</v>
      </c>
      <c r="B111" s="33">
        <f>'Raw data'!B111/'plant information'!$B$20</f>
        <v>14.818407960199005</v>
      </c>
      <c r="C111" s="33">
        <f>('plant information'!$B$22/('Raw data'!B111+'Raw data'!D111))*24</f>
        <v>4.0490179620614395</v>
      </c>
      <c r="D111" s="33">
        <f>('Raw data'!M111-'Raw data'!N111)*100/'Raw data'!M111</f>
        <v>92.318840579710141</v>
      </c>
      <c r="E111" s="51">
        <f>('Raw data'!O111-'Raw data'!P111)*100/'Raw data'!O111</f>
        <v>94.507337526205447</v>
      </c>
      <c r="F111" s="37">
        <f>('Raw data'!Q111-'Raw data'!R111)*100/'Raw data'!Q111</f>
        <v>96.69291338582677</v>
      </c>
    </row>
    <row r="112" spans="1:6" ht="19.95" customHeight="1" x14ac:dyDescent="0.25">
      <c r="A112" s="32">
        <f>((('Raw data'!B112+'Raw data'!D112)/24)*('Raw data'!G112/1000))/'plant information'!$B$20</f>
        <v>1.9285262852404641</v>
      </c>
      <c r="B112" s="33">
        <f>'Raw data'!B112/'plant information'!$B$20</f>
        <v>14.342039800995025</v>
      </c>
      <c r="C112" s="33">
        <f>('plant information'!$B$22/('Raw data'!B112+'Raw data'!D112))*24</f>
        <v>4.1835053334489638</v>
      </c>
      <c r="D112" s="33">
        <f>('Raw data'!M112-'Raw data'!N112)*100/'Raw data'!M112</f>
        <v>92.131147540983605</v>
      </c>
      <c r="E112" s="51">
        <f>('Raw data'!O112-'Raw data'!P112)*100/'Raw data'!O112</f>
        <v>93.388429752066116</v>
      </c>
      <c r="F112" s="37">
        <f>('Raw data'!Q112-'Raw data'!R112)*100/'Raw data'!Q112</f>
        <v>97.188755020080322</v>
      </c>
    </row>
    <row r="113" spans="1:6" ht="19.95" customHeight="1" x14ac:dyDescent="0.25">
      <c r="A113" s="32">
        <f>((('Raw data'!B113+'Raw data'!D113)/24)*('Raw data'!G113/1000))/'plant information'!$B$20</f>
        <v>1.8593134328358207</v>
      </c>
      <c r="B113" s="33">
        <f>'Raw data'!B113/'plant information'!$B$20</f>
        <v>14.014925373134329</v>
      </c>
      <c r="C113" s="33">
        <f>('plant information'!$B$22/('Raw data'!B113+'Raw data'!D113))*24</f>
        <v>4.281150159744409</v>
      </c>
      <c r="D113" s="33">
        <f>('Raw data'!M113-'Raw data'!N113)*100/'Raw data'!M113</f>
        <v>93.059701492537314</v>
      </c>
      <c r="E113" s="51">
        <f>('Raw data'!O113-'Raw data'!P113)*100/'Raw data'!O113</f>
        <v>93.433476394849791</v>
      </c>
      <c r="F113" s="37">
        <f>('Raw data'!Q113-'Raw data'!R113)*100/'Raw data'!Q113</f>
        <v>97.091633466135463</v>
      </c>
    </row>
    <row r="114" spans="1:6" ht="19.95" customHeight="1" x14ac:dyDescent="0.25">
      <c r="A114" s="32">
        <f>((('Raw data'!B114+'Raw data'!D114)/24)*('Raw data'!G114/1000))/'plant information'!$B$20</f>
        <v>1.8821666666666665</v>
      </c>
      <c r="B114" s="33">
        <f>'Raw data'!B114/'plant information'!$B$20</f>
        <v>14.046019900497512</v>
      </c>
      <c r="C114" s="33">
        <f>('plant information'!$B$22/('Raw data'!B114+'Raw data'!D114))*24</f>
        <v>4.271672717612681</v>
      </c>
      <c r="D114" s="33">
        <f>('Raw data'!M114-'Raw data'!N114)*100/'Raw data'!M114</f>
        <v>93.888888888888886</v>
      </c>
      <c r="E114" s="51">
        <f>('Raw data'!O114-'Raw data'!P114)*100/'Raw data'!O114</f>
        <v>93.534303534303533</v>
      </c>
      <c r="F114" s="37">
        <f>('Raw data'!Q114-'Raw data'!R114)*100/'Raw data'!Q114</f>
        <v>96.761133603238861</v>
      </c>
    </row>
    <row r="115" spans="1:6" ht="19.95" customHeight="1" x14ac:dyDescent="0.25">
      <c r="A115" s="32">
        <f>((('Raw data'!B115+'Raw data'!D115)/24)*('Raw data'!G115/1000))/'plant information'!$B$20</f>
        <v>1.9340003316749581</v>
      </c>
      <c r="B115" s="33">
        <f>'Raw data'!B115/'plant information'!$B$20</f>
        <v>14.375621890547263</v>
      </c>
      <c r="C115" s="33">
        <f>('plant information'!$B$22/('Raw data'!B115+'Raw data'!D115))*24</f>
        <v>4.1737324796677626</v>
      </c>
      <c r="D115" s="33">
        <f>('Raw data'!M115-'Raw data'!N115)*100/'Raw data'!M115</f>
        <v>92.592592592592595</v>
      </c>
      <c r="E115" s="51">
        <f>('Raw data'!O115-'Raw data'!P115)*100/'Raw data'!O115</f>
        <v>94.583333333333329</v>
      </c>
      <c r="F115" s="37">
        <f>('Raw data'!Q115-'Raw data'!R115)*100/'Raw data'!Q115</f>
        <v>96.837944664031625</v>
      </c>
    </row>
    <row r="116" spans="1:6" ht="19.95" customHeight="1" x14ac:dyDescent="0.25">
      <c r="A116" s="32">
        <f>((('Raw data'!B116+'Raw data'!D116)/24)*('Raw data'!G116/1000))/'plant information'!$B$20</f>
        <v>1.9172014925373133</v>
      </c>
      <c r="B116" s="33">
        <f>'Raw data'!B116/'plant information'!$B$20</f>
        <v>14.201492537313433</v>
      </c>
      <c r="C116" s="33">
        <f>('plant information'!$B$22/('Raw data'!B116+'Raw data'!D116))*24</f>
        <v>4.2249080399369419</v>
      </c>
      <c r="D116" s="33">
        <f>('Raw data'!M116-'Raw data'!N116)*100/'Raw data'!M116</f>
        <v>92.261904761904759</v>
      </c>
      <c r="E116" s="51">
        <f>('Raw data'!O116-'Raw data'!P116)*100/'Raw data'!O116</f>
        <v>92.008547008547012</v>
      </c>
      <c r="F116" s="37">
        <f>('Raw data'!Q116-'Raw data'!R116)*100/'Raw data'!Q116</f>
        <v>95.564516129032256</v>
      </c>
    </row>
    <row r="117" spans="1:6" ht="19.95" customHeight="1" x14ac:dyDescent="0.25">
      <c r="A117" s="32">
        <f>((('Raw data'!B117+'Raw data'!D117)/24)*('Raw data'!G117/1000))/'plant information'!$B$20</f>
        <v>1.8717582089552238</v>
      </c>
      <c r="B117" s="33">
        <f>'Raw data'!B117/'plant information'!$B$20</f>
        <v>14.052238805970148</v>
      </c>
      <c r="C117" s="33">
        <f>('plant information'!$B$22/('Raw data'!B117+'Raw data'!D117))*24</f>
        <v>4.2697822623473183</v>
      </c>
      <c r="D117" s="33">
        <f>('Raw data'!M117-'Raw data'!N117)*100/'Raw data'!M117</f>
        <v>90.551181102362207</v>
      </c>
      <c r="E117" s="51">
        <f>('Raw data'!O117-'Raw data'!P117)*100/'Raw data'!O117</f>
        <v>92.869379014989292</v>
      </c>
      <c r="F117" s="37">
        <f>('Raw data'!Q117-'Raw data'!R117)*100/'Raw data'!Q117</f>
        <v>96.150793650793645</v>
      </c>
    </row>
    <row r="118" spans="1:6" ht="19.95" customHeight="1" x14ac:dyDescent="0.25">
      <c r="A118" s="32">
        <f>((('Raw data'!B118+'Raw data'!D118)/24)*('Raw data'!G118/1000))/'plant information'!$B$20</f>
        <v>1.8686169154228855</v>
      </c>
      <c r="B118" s="33">
        <f>'Raw data'!B118/'plant information'!$B$20</f>
        <v>14.049751243781095</v>
      </c>
      <c r="C118" s="33">
        <f>('plant information'!$B$22/('Raw data'!B118+'Raw data'!D118))*24</f>
        <v>4.2705382436260626</v>
      </c>
      <c r="D118" s="33">
        <f>('Raw data'!M118-'Raw data'!N118)*100/'Raw data'!M118</f>
        <v>92.99363057324841</v>
      </c>
      <c r="E118" s="51">
        <f>('Raw data'!O118-'Raw data'!P118)*100/'Raw data'!O118</f>
        <v>92.765957446808514</v>
      </c>
      <c r="F118" s="37">
        <f>('Raw data'!Q118-'Raw data'!R118)*100/'Raw data'!Q118</f>
        <v>96.707317073170728</v>
      </c>
    </row>
    <row r="119" spans="1:6" ht="19.95" customHeight="1" x14ac:dyDescent="0.25">
      <c r="A119" s="32">
        <f>((('Raw data'!B119+'Raw data'!D119)/24)*('Raw data'!G119/1000))/'plant information'!$B$20</f>
        <v>1.944992951907131</v>
      </c>
      <c r="B119" s="33">
        <f>'Raw data'!B119/'plant information'!$B$20</f>
        <v>14.478855721393035</v>
      </c>
      <c r="C119" s="33">
        <f>('plant information'!$B$22/('Raw data'!B119+'Raw data'!D119))*24</f>
        <v>4.1439738854050336</v>
      </c>
      <c r="D119" s="33">
        <f>('Raw data'!M119-'Raw data'!N119)*100/'Raw data'!M119</f>
        <v>94.267515923566876</v>
      </c>
      <c r="E119" s="51">
        <f>('Raw data'!O119-'Raw data'!P119)*100/'Raw data'!O119</f>
        <v>94.044715447154474</v>
      </c>
      <c r="F119" s="37">
        <f>('Raw data'!Q119-'Raw data'!R119)*100/'Raw data'!Q119</f>
        <v>96.812749003984067</v>
      </c>
    </row>
    <row r="120" spans="1:6" ht="19.95" customHeight="1" x14ac:dyDescent="0.25">
      <c r="A120" s="32">
        <f>((('Raw data'!B120+'Raw data'!D120)/24)*('Raw data'!G120/1000))/'plant information'!$B$20</f>
        <v>1.9166351575456053</v>
      </c>
      <c r="B120" s="33">
        <f>'Raw data'!B120/'plant information'!$B$20</f>
        <v>14.35323383084577</v>
      </c>
      <c r="C120" s="33">
        <f>('plant information'!$B$22/('Raw data'!B120+'Raw data'!D120))*24</f>
        <v>4.1802426343154249</v>
      </c>
      <c r="D120" s="33">
        <f>('Raw data'!M120-'Raw data'!N120)*100/'Raw data'!M120</f>
        <v>92.222222222222229</v>
      </c>
      <c r="E120" s="51">
        <f>('Raw data'!O120-'Raw data'!P120)*100/'Raw data'!O120</f>
        <v>90.759753593429153</v>
      </c>
      <c r="F120" s="37">
        <f>('Raw data'!Q120-'Raw data'!R120)*100/'Raw data'!Q120</f>
        <v>95.582329317269071</v>
      </c>
    </row>
    <row r="121" spans="1:6" ht="19.95" customHeight="1" x14ac:dyDescent="0.25">
      <c r="A121" s="32">
        <f>((('Raw data'!B121+'Raw data'!D121)/24)*('Raw data'!G121/1000))/'plant information'!$B$20</f>
        <v>1.9261666666666666</v>
      </c>
      <c r="B121" s="33">
        <f>'Raw data'!B121/'plant information'!$B$20</f>
        <v>14.374378109452737</v>
      </c>
      <c r="C121" s="33">
        <f>('plant information'!$B$22/('Raw data'!B121+'Raw data'!D121))*24</f>
        <v>4.1740936229125207</v>
      </c>
      <c r="D121" s="33">
        <f>('Raw data'!M121-'Raw data'!N121)*100/'Raw data'!M121</f>
        <v>92.517482517482534</v>
      </c>
      <c r="E121" s="51">
        <f>('Raw data'!O121-'Raw data'!P121)*100/'Raw data'!O121</f>
        <v>93.569979716024335</v>
      </c>
      <c r="F121" s="37">
        <f>('Raw data'!Q121-'Raw data'!R121)*100/'Raw data'!Q121</f>
        <v>96.653543307086608</v>
      </c>
    </row>
    <row r="122" spans="1:6" ht="19.95" customHeight="1" x14ac:dyDescent="0.25">
      <c r="A122" s="32">
        <f>((('Raw data'!B122+'Raw data'!D122)/24)*('Raw data'!G122/1000))/'plant information'!$B$20</f>
        <v>1.8154524046434495</v>
      </c>
      <c r="B122" s="33">
        <f>'Raw data'!B122/'plant information'!$B$20</f>
        <v>13.907960199004975</v>
      </c>
      <c r="C122" s="33">
        <f>('plant information'!$B$22/('Raw data'!B122+'Raw data'!D122))*24</f>
        <v>4.3140761938830261</v>
      </c>
      <c r="D122" s="33">
        <f>('Raw data'!M122-'Raw data'!N122)*100/'Raw data'!M122</f>
        <v>92.933333333333337</v>
      </c>
      <c r="E122" s="51">
        <f>('Raw data'!O122-'Raw data'!P122)*100/'Raw data'!O122</f>
        <v>94.05797101449275</v>
      </c>
      <c r="F122" s="37">
        <f>('Raw data'!Q122-'Raw data'!R122)*100/'Raw data'!Q122</f>
        <v>96.639676113360323</v>
      </c>
    </row>
    <row r="123" spans="1:6" ht="19.95" customHeight="1" x14ac:dyDescent="0.25">
      <c r="A123" s="32">
        <f>((('Raw data'!B123+'Raw data'!D123)/24)*('Raw data'!G123/1000))/'plant information'!$B$20</f>
        <v>1.8079469320066333</v>
      </c>
      <c r="B123" s="33">
        <f>'Raw data'!B123/'plant information'!$B$20</f>
        <v>13.893034825870647</v>
      </c>
      <c r="C123" s="33">
        <f>('plant information'!$B$22/('Raw data'!B123+'Raw data'!D123))*24</f>
        <v>4.3187108325872874</v>
      </c>
      <c r="D123" s="33">
        <f>('Raw data'!M123-'Raw data'!N123)*100/'Raw data'!M123</f>
        <v>92.848484848484844</v>
      </c>
      <c r="E123" s="51">
        <f>('Raw data'!O123-'Raw data'!P123)*100/'Raw data'!O123</f>
        <v>92.900608519269781</v>
      </c>
      <c r="F123" s="3">
        <f>('Raw data'!Q123-'Raw data'!R123)*100/'Raw data'!Q123</f>
        <v>96.72</v>
      </c>
    </row>
    <row r="124" spans="1:6" ht="19.95" customHeight="1" x14ac:dyDescent="0.25">
      <c r="A124" s="32">
        <f>((('Raw data'!B124+'Raw data'!D124)/24)*('Raw data'!G124/1000))/'plant information'!$B$20</f>
        <v>1.8788742951907134</v>
      </c>
      <c r="B124" s="33">
        <f>'Raw data'!B124/'plant information'!$B$20</f>
        <v>14.482587064676617</v>
      </c>
      <c r="C124" s="33">
        <f>('plant information'!$B$22/('Raw data'!B124+'Raw data'!D124))*24</f>
        <v>4.1429062177945717</v>
      </c>
      <c r="D124" s="33">
        <f>('Raw data'!M124-'Raw data'!N124)*100/'Raw data'!M124</f>
        <v>91.527777777777786</v>
      </c>
      <c r="E124" s="51">
        <f>('Raw data'!O124-'Raw data'!P124)*100/'Raw data'!O124</f>
        <v>92.463768115942031</v>
      </c>
      <c r="F124" s="37">
        <f>('Raw data'!Q124-'Raw data'!R124)*100/'Raw data'!Q124</f>
        <v>95.810276679841891</v>
      </c>
    </row>
    <row r="125" spans="1:6" ht="19.95" customHeight="1" x14ac:dyDescent="0.25">
      <c r="A125" s="32">
        <f>((('Raw data'!B125+'Raw data'!D125)/24)*('Raw data'!G125/1000))/'plant information'!$B$20</f>
        <v>1.8880692371475956</v>
      </c>
      <c r="B125" s="33">
        <f>'Raw data'!B125/'plant information'!$B$20</f>
        <v>14.560945273631841</v>
      </c>
      <c r="C125" s="33">
        <f>('plant information'!$B$22/('Raw data'!B125+'Raw data'!D125))*24</f>
        <v>4.1206115998974973</v>
      </c>
      <c r="D125" s="33">
        <f>('Raw data'!M125-'Raw data'!N125)*100/'Raw data'!M125</f>
        <v>92.740740740740748</v>
      </c>
      <c r="E125" s="51">
        <f>('Raw data'!O125-'Raw data'!P125)*100/'Raw data'!O125</f>
        <v>92.489451476793249</v>
      </c>
      <c r="F125" s="37">
        <f>('Raw data'!Q125-'Raw data'!R125)*100/'Raw data'!Q125</f>
        <v>97.142857142857139</v>
      </c>
    </row>
    <row r="126" spans="1:6" ht="19.95" customHeight="1" x14ac:dyDescent="0.25">
      <c r="A126" s="32">
        <f>((('Raw data'!B126+'Raw data'!D126)/24)*('Raw data'!G126/1000))/'plant information'!$B$20</f>
        <v>1.9089071310116084</v>
      </c>
      <c r="B126" s="33">
        <f>'Raw data'!B126/'plant information'!$B$20</f>
        <v>14.534825870646767</v>
      </c>
      <c r="C126" s="33">
        <f>('plant information'!$B$22/('Raw data'!B126+'Raw data'!D126))*24</f>
        <v>4.1280164299161388</v>
      </c>
      <c r="D126" s="1">
        <f>('Raw data'!M126-'Raw data'!N126)*100/'Raw data'!M126</f>
        <v>92</v>
      </c>
      <c r="E126" s="51">
        <f>('Raw data'!O126-'Raw data'!P126)*100/'Raw data'!O126</f>
        <v>92.719486081370448</v>
      </c>
      <c r="F126" s="37">
        <f>('Raw data'!Q126-'Raw data'!R126)*100/'Raw data'!Q126</f>
        <v>96.812749003984067</v>
      </c>
    </row>
    <row r="127" spans="1:6" ht="19.95" customHeight="1" x14ac:dyDescent="0.25">
      <c r="A127" s="32">
        <f>((('Raw data'!B127+'Raw data'!D127)/24)*('Raw data'!G127/1000))/'plant information'!$B$20</f>
        <v>1.8983762023217248</v>
      </c>
      <c r="B127" s="33">
        <f>'Raw data'!B127/'plant information'!$B$20</f>
        <v>14.374378109452737</v>
      </c>
      <c r="C127" s="33">
        <f>('plant information'!$B$22/('Raw data'!B127+'Raw data'!D127))*24</f>
        <v>4.1740936229125207</v>
      </c>
      <c r="D127" s="33">
        <f>('Raw data'!M127-'Raw data'!N127)*100/'Raw data'!M127</f>
        <v>92.357142857142875</v>
      </c>
      <c r="E127" s="51">
        <f>('Raw data'!O127-'Raw data'!P127)*100/'Raw data'!O127</f>
        <v>92.887029288702934</v>
      </c>
      <c r="F127" s="37">
        <f>('Raw data'!Q127-'Raw data'!R127)*100/'Raw data'!Q127</f>
        <v>96.693548387096769</v>
      </c>
    </row>
    <row r="128" spans="1:6" ht="19.95" customHeight="1" x14ac:dyDescent="0.25">
      <c r="A128" s="32">
        <f>((('Raw data'!B128+'Raw data'!D128)/24)*('Raw data'!G128/1000))/'plant information'!$B$20</f>
        <v>1.8707907131011607</v>
      </c>
      <c r="B128" s="33">
        <f>'Raw data'!B128/'plant information'!$B$20</f>
        <v>14.40547263681592</v>
      </c>
      <c r="C128" s="33">
        <f>('plant information'!$B$22/('Raw data'!B128+'Raw data'!D128))*24</f>
        <v>4.1650837506475566</v>
      </c>
      <c r="D128" s="33">
        <f>('Raw data'!M128-'Raw data'!N128)*100/'Raw data'!M128</f>
        <v>92.645161290322577</v>
      </c>
      <c r="E128" s="51">
        <f>('Raw data'!O128-'Raw data'!P128)*100/'Raw data'!O128</f>
        <v>92.024539877300612</v>
      </c>
      <c r="F128" s="37">
        <f>('Raw data'!Q128-'Raw data'!R128)*100/'Raw data'!Q128</f>
        <v>96.30952380952381</v>
      </c>
    </row>
    <row r="129" spans="1:6" ht="19.95" customHeight="1" x14ac:dyDescent="0.25">
      <c r="A129" s="32">
        <f>((('Raw data'!B129+'Raw data'!D129)/24)*('Raw data'!G129/1000))/'plant information'!$B$20</f>
        <v>1.9265323383084578</v>
      </c>
      <c r="B129" s="33">
        <f>'Raw data'!B129/'plant information'!$B$20</f>
        <v>14.639303482587065</v>
      </c>
      <c r="C129" s="33">
        <f>('plant information'!$B$22/('Raw data'!B129+'Raw data'!D129))*24</f>
        <v>4.0985556499575191</v>
      </c>
      <c r="D129" s="33">
        <f>('Raw data'!M129-'Raw data'!N129)*100/'Raw data'!M129</f>
        <v>92.934782608695656</v>
      </c>
      <c r="E129" s="51">
        <f>('Raw data'!O129-'Raw data'!P129)*100/'Raw data'!O129</f>
        <v>91.75</v>
      </c>
      <c r="F129" s="37">
        <f>('Raw data'!Q129-'Raw data'!R129)*100/'Raw data'!Q129</f>
        <v>96.138211382113823</v>
      </c>
    </row>
    <row r="130" spans="1:6" ht="19.95" customHeight="1" x14ac:dyDescent="0.25">
      <c r="A130" s="32">
        <f>((('Raw data'!B130+'Raw data'!D130)/24)*('Raw data'!G130/1000))/'plant information'!$B$20</f>
        <v>1.9376477611940297</v>
      </c>
      <c r="B130" s="33">
        <f>'Raw data'!B130/'plant information'!$B$20</f>
        <v>14.686567164179104</v>
      </c>
      <c r="C130" s="33">
        <f>('plant information'!$B$22/('Raw data'!B130+'Raw data'!D130))*24</f>
        <v>4.0853658536585371</v>
      </c>
      <c r="D130" s="33">
        <f>('Raw data'!M130-'Raw data'!N130)*100/'Raw data'!M130</f>
        <v>94.316939890710387</v>
      </c>
      <c r="E130" s="51">
        <f>('Raw data'!O130-'Raw data'!P130)*100/'Raw data'!O130</f>
        <v>90.357142857142861</v>
      </c>
      <c r="F130" s="37">
        <f>('Raw data'!Q130-'Raw data'!R130)*100/'Raw data'!Q130</f>
        <v>96.496062992125985</v>
      </c>
    </row>
    <row r="131" spans="1:6" ht="19.95" customHeight="1" x14ac:dyDescent="0.25">
      <c r="A131" s="32">
        <f>((('Raw data'!B131+'Raw data'!D131)/24)*('Raw data'!G131/1000))/'plant information'!$B$20</f>
        <v>1.864572470978441</v>
      </c>
      <c r="B131" s="33">
        <f>'Raw data'!B131/'plant information'!$B$20</f>
        <v>14.218905472636816</v>
      </c>
      <c r="C131" s="33">
        <f>('plant information'!$B$22/('Raw data'!B131+'Raw data'!D131))*24</f>
        <v>4.2197340797760665</v>
      </c>
      <c r="D131" s="33">
        <f>('Raw data'!M131-'Raw data'!N131)*100/'Raw data'!M131</f>
        <v>92.738095238095255</v>
      </c>
      <c r="E131" s="51">
        <f>('Raw data'!O131-'Raw data'!P131)*100/'Raw data'!O131</f>
        <v>93.133047210300433</v>
      </c>
      <c r="F131" s="3">
        <f>('Raw data'!Q131-'Raw data'!R131)*100/'Raw data'!Q131</f>
        <v>96.4</v>
      </c>
    </row>
    <row r="132" spans="1:6" ht="19.95" customHeight="1" x14ac:dyDescent="0.25">
      <c r="A132" s="32">
        <f>((('Raw data'!B132+'Raw data'!D132)/24)*('Raw data'!G132/1000))/'plant information'!$B$20</f>
        <v>1.8550038142620233</v>
      </c>
      <c r="B132" s="33">
        <f>'Raw data'!B132/'plant information'!$B$20</f>
        <v>14.240049751243781</v>
      </c>
      <c r="C132" s="33">
        <f>('plant information'!$B$22/('Raw data'!B132+'Raw data'!D132))*24</f>
        <v>4.2134684251899728</v>
      </c>
      <c r="D132" s="33">
        <f>('Raw data'!M132-'Raw data'!N132)*100/'Raw data'!M132</f>
        <v>92.307692307692307</v>
      </c>
      <c r="E132" s="51">
        <f>('Raw data'!O132-'Raw data'!P132)*100/'Raw data'!O132</f>
        <v>92.494758909853246</v>
      </c>
      <c r="F132" s="37">
        <f>('Raw data'!Q132-'Raw data'!R132)*100/'Raw data'!Q132</f>
        <v>96.356275303643727</v>
      </c>
    </row>
    <row r="133" spans="1:6" ht="19.95" customHeight="1" x14ac:dyDescent="0.25">
      <c r="A133" s="32">
        <f>((('Raw data'!B133+'Raw data'!D133)/24)*('Raw data'!G133/1000))/'plant information'!$B$20</f>
        <v>1.8293303482587064</v>
      </c>
      <c r="B133" s="33">
        <f>'Raw data'!B133/'plant information'!$B$20</f>
        <v>14.028606965174129</v>
      </c>
      <c r="C133" s="33">
        <f>('plant information'!$B$22/('Raw data'!B133+'Raw data'!D133))*24</f>
        <v>4.2769749091231493</v>
      </c>
      <c r="D133" s="33">
        <f>('Raw data'!M133-'Raw data'!N133)*100/'Raw data'!M133</f>
        <v>91.728395061728392</v>
      </c>
      <c r="E133" s="51">
        <f>('Raw data'!O133-'Raw data'!P133)*100/'Raw data'!O133</f>
        <v>91.75</v>
      </c>
      <c r="F133" s="37">
        <f>('Raw data'!Q133-'Raw data'!R133)*100/'Raw data'!Q133</f>
        <v>96.719367588932812</v>
      </c>
    </row>
    <row r="134" spans="1:6" ht="19.95" customHeight="1" x14ac:dyDescent="0.25">
      <c r="A134" s="32">
        <f>((('Raw data'!B134+'Raw data'!D134)/24)*('Raw data'!G134/1000))/'plant information'!$B$20</f>
        <v>1.8510350746268658</v>
      </c>
      <c r="B134" s="33">
        <f>'Raw data'!B134/'plant information'!$B$20</f>
        <v>14.115671641791044</v>
      </c>
      <c r="C134" s="33">
        <f>('plant information'!$B$22/('Raw data'!B134+'Raw data'!D134))*24</f>
        <v>4.2505947660586827</v>
      </c>
      <c r="D134" s="33">
        <f>('Raw data'!M134-'Raw data'!N134)*100/'Raw data'!M134</f>
        <v>90.476190476190482</v>
      </c>
      <c r="E134" s="51">
        <f>('Raw data'!O134-'Raw data'!P134)*100/'Raw data'!O134</f>
        <v>91.712707182320443</v>
      </c>
      <c r="F134" s="37">
        <f>('Raw data'!Q134-'Raw data'!R134)*100/'Raw data'!Q134</f>
        <v>96.148148148148167</v>
      </c>
    </row>
    <row r="135" spans="1:6" ht="19.95" customHeight="1" x14ac:dyDescent="0.25">
      <c r="A135" s="32">
        <f>((('Raw data'!B135+'Raw data'!D135)/24)*('Raw data'!G135/1000))/'plant information'!$B$20</f>
        <v>1.8716774461028192</v>
      </c>
      <c r="B135" s="33">
        <f>'Raw data'!B135/'plant information'!$B$20</f>
        <v>14.360696517412935</v>
      </c>
      <c r="C135" s="33">
        <f>('plant information'!$B$22/('Raw data'!B135+'Raw data'!D135))*24</f>
        <v>4.1780703273861084</v>
      </c>
      <c r="D135" s="33">
        <f>('Raw data'!M135-'Raw data'!N135)*100/'Raw data'!M135</f>
        <v>92.82352941176471</v>
      </c>
      <c r="E135" s="51">
        <f>('Raw data'!O135-'Raw data'!P135)*100/'Raw data'!O135</f>
        <v>92.273730684326708</v>
      </c>
      <c r="F135" s="37">
        <f>('Raw data'!Q135-'Raw data'!R135)*100/'Raw data'!Q135</f>
        <v>96.370967741935488</v>
      </c>
    </row>
    <row r="136" spans="1:6" ht="19.95" customHeight="1" x14ac:dyDescent="0.25">
      <c r="A136" s="32">
        <f>((('Raw data'!B136+'Raw data'!D136)/24)*('Raw data'!G136/1000))/'plant information'!$B$20</f>
        <v>1.9167728026533994</v>
      </c>
      <c r="B136" s="33">
        <f>'Raw data'!B136/'plant information'!$B$20</f>
        <v>14.639303482587065</v>
      </c>
      <c r="C136" s="33">
        <f>('plant information'!$B$22/('Raw data'!B136+'Raw data'!D136))*24</f>
        <v>4.0985556499575191</v>
      </c>
      <c r="D136" s="33">
        <f>('Raw data'!M136-'Raw data'!N136)*100/'Raw data'!M136</f>
        <v>93.197674418604663</v>
      </c>
      <c r="E136" s="51">
        <f>('Raw data'!O136-'Raw data'!P136)*100/'Raw data'!O136</f>
        <v>90.900621118012424</v>
      </c>
      <c r="F136" s="37">
        <f>('Raw data'!Q136-'Raw data'!R136)*100/'Raw data'!Q136</f>
        <v>96.031746031746039</v>
      </c>
    </row>
    <row r="137" spans="1:6" ht="19.95" customHeight="1" x14ac:dyDescent="0.25">
      <c r="A137" s="32">
        <f>((('Raw data'!B137+'Raw data'!D137)/24)*('Raw data'!G137/1000))/'plant information'!$B$20</f>
        <v>1.882898009950249</v>
      </c>
      <c r="B137" s="33">
        <f>'Raw data'!B137/'plant information'!$B$20</f>
        <v>14.483830845771145</v>
      </c>
      <c r="C137" s="33">
        <f>('plant information'!$B$22/('Raw data'!B137+'Raw data'!D137))*24</f>
        <v>4.1425504508372697</v>
      </c>
      <c r="D137" s="33">
        <f>('Raw data'!M137-'Raw data'!N137)*100/'Raw data'!M137</f>
        <v>93.710691823899367</v>
      </c>
      <c r="E137" s="51">
        <f>('Raw data'!O137-'Raw data'!P137)*100/'Raw data'!O137</f>
        <v>91.540785498489427</v>
      </c>
      <c r="F137" s="37">
        <f>('Raw data'!Q137-'Raw data'!R137)*100/'Raw data'!Q137</f>
        <v>96.296296296296291</v>
      </c>
    </row>
    <row r="138" spans="1:6" ht="19.95" customHeight="1" x14ac:dyDescent="0.25">
      <c r="A138" s="32">
        <f>((('Raw data'!B138+'Raw data'!D138)/24)*('Raw data'!G138/1000))/'plant information'!$B$20</f>
        <v>1.9398867330016585</v>
      </c>
      <c r="B138" s="33">
        <f>'Raw data'!B138/'plant information'!$B$20</f>
        <v>14.823383084577115</v>
      </c>
      <c r="C138" s="33">
        <f>('plant information'!$B$22/('Raw data'!B138+'Raw data'!D138))*24</f>
        <v>4.0476590031884543</v>
      </c>
      <c r="D138" s="33">
        <f>('Raw data'!M138-'Raw data'!N138)*100/'Raw data'!M138</f>
        <v>92.937499999999986</v>
      </c>
      <c r="E138" s="51">
        <f>('Raw data'!O138-'Raw data'!P138)*100/'Raw data'!O138</f>
        <v>93.554327808471456</v>
      </c>
      <c r="F138" s="3">
        <f>('Raw data'!Q138-'Raw data'!R138)*100/'Raw data'!Q138</f>
        <v>96.4</v>
      </c>
    </row>
    <row r="139" spans="1:6" ht="19.95" customHeight="1" x14ac:dyDescent="0.25">
      <c r="A139" s="32">
        <f>((('Raw data'!B139+'Raw data'!D139)/24)*('Raw data'!G139/1000))/'plant information'!$B$20</f>
        <v>1.8946545605306799</v>
      </c>
      <c r="B139" s="33">
        <f>'Raw data'!B139/'plant information'!$B$20</f>
        <v>14.360696517412935</v>
      </c>
      <c r="C139" s="33">
        <f>('plant information'!$B$22/('Raw data'!B139+'Raw data'!D139))*24</f>
        <v>4.1780703273861084</v>
      </c>
      <c r="D139" s="33">
        <f>('Raw data'!M139-'Raw data'!N139)*100/'Raw data'!M139</f>
        <v>92.152777777777771</v>
      </c>
      <c r="E139" s="51">
        <f>('Raw data'!O139-'Raw data'!P139)*100/'Raw data'!O139</f>
        <v>92.911877394636022</v>
      </c>
      <c r="F139" s="37">
        <f>('Raw data'!Q139-'Raw data'!R139)*100/'Raw data'!Q139</f>
        <v>96.653543307086608</v>
      </c>
    </row>
    <row r="140" spans="1:6" ht="19.95" customHeight="1" x14ac:dyDescent="0.25">
      <c r="A140" s="32">
        <f>((('Raw data'!B140+'Raw data'!D140)/24)*('Raw data'!G140/1000))/'plant information'!$B$20</f>
        <v>1.8999918739635155</v>
      </c>
      <c r="B140" s="33">
        <f>'Raw data'!B140/'plant information'!$B$20</f>
        <v>14.379353233830846</v>
      </c>
      <c r="C140" s="33">
        <f>('plant information'!$B$22/('Raw data'!B140+'Raw data'!D140))*24</f>
        <v>4.1726494247902437</v>
      </c>
      <c r="D140" s="33">
        <f>('Raw data'!M140-'Raw data'!N140)*100/'Raw data'!M140</f>
        <v>92.206896551724128</v>
      </c>
      <c r="E140" s="51">
        <f>('Raw data'!O140-'Raw data'!P140)*100/'Raw data'!O140</f>
        <v>91.618852459016395</v>
      </c>
      <c r="F140" s="37">
        <f>('Raw data'!Q140-'Raw data'!R140)*100/'Raw data'!Q140</f>
        <v>96.787148594377513</v>
      </c>
    </row>
    <row r="141" spans="1:6" ht="19.95" customHeight="1" x14ac:dyDescent="0.25">
      <c r="A141" s="32">
        <f>((('Raw data'!B141+'Raw data'!D141)/24)*('Raw data'!G141/1000))/'plant information'!$B$20</f>
        <v>1.8749996683250414</v>
      </c>
      <c r="B141" s="33">
        <f>'Raw data'!B141/'plant information'!$B$20</f>
        <v>14.218905472636816</v>
      </c>
      <c r="C141" s="33">
        <f>('plant information'!$B$22/('Raw data'!B141+'Raw data'!D141))*24</f>
        <v>4.2197340797760665</v>
      </c>
      <c r="D141" s="33">
        <f>('Raw data'!M141-'Raw data'!N141)*100/'Raw data'!M141</f>
        <v>93.154761904761898</v>
      </c>
      <c r="E141" s="51">
        <f>('Raw data'!O141-'Raw data'!P141)*100/'Raw data'!O141</f>
        <v>91.08</v>
      </c>
      <c r="F141" s="37">
        <f>('Raw data'!Q141-'Raw data'!R141)*100/'Raw data'!Q141</f>
        <v>96.812749003984067</v>
      </c>
    </row>
    <row r="142" spans="1:6" ht="19.95" customHeight="1" x14ac:dyDescent="0.25">
      <c r="A142" s="32">
        <f>((('Raw data'!B142+'Raw data'!D142)/24)*('Raw data'!G142/1000))/'plant information'!$B$20</f>
        <v>1.8773529850746269</v>
      </c>
      <c r="B142" s="33">
        <f>'Raw data'!B142/'plant information'!$B$20</f>
        <v>14.287313432835822</v>
      </c>
      <c r="C142" s="33">
        <f>('plant information'!$B$22/('Raw data'!B142+'Raw data'!D142))*24</f>
        <v>4.1995299033690259</v>
      </c>
      <c r="D142" s="33">
        <f>('Raw data'!M142-'Raw data'!N142)*100/'Raw data'!M142</f>
        <v>93.532934131736511</v>
      </c>
      <c r="E142" s="51">
        <f>('Raw data'!O142-'Raw data'!P142)*100/'Raw data'!O142</f>
        <v>91.943127962085313</v>
      </c>
      <c r="F142" s="37">
        <f>('Raw data'!Q142-'Raw data'!R142)*100/'Raw data'!Q142</f>
        <v>96.761133603238861</v>
      </c>
    </row>
    <row r="143" spans="1:6" ht="19.95" customHeight="1" x14ac:dyDescent="0.25">
      <c r="A143" s="32">
        <f>((('Raw data'!B143+'Raw data'!D143)/24)*('Raw data'!G143/1000))/'plant information'!$B$20</f>
        <v>1.8585983416252072</v>
      </c>
      <c r="B143" s="33">
        <f>'Raw data'!B143/'plant information'!$B$20</f>
        <v>14.09452736318408</v>
      </c>
      <c r="C143" s="33">
        <f>('plant information'!$B$22/('Raw data'!B143+'Raw data'!D143))*24</f>
        <v>4.2569714084009886</v>
      </c>
      <c r="D143" s="33">
        <f>('Raw data'!M143-'Raw data'!N143)*100/'Raw data'!M143</f>
        <v>92.026143790849687</v>
      </c>
      <c r="E143" s="51">
        <f>('Raw data'!O143-'Raw data'!P143)*100/'Raw data'!O143</f>
        <v>93.043478260869563</v>
      </c>
      <c r="F143" s="37">
        <f>('Raw data'!Q143-'Raw data'!R143)*100/'Raw data'!Q143</f>
        <v>96.837944664031625</v>
      </c>
    </row>
    <row r="144" spans="1:6" ht="19.95" customHeight="1" x14ac:dyDescent="0.25">
      <c r="A144" s="32">
        <f>((('Raw data'!B144+'Raw data'!D144)/24)*('Raw data'!G144/1000))/'plant information'!$B$20</f>
        <v>1.8245943615257045</v>
      </c>
      <c r="B144" s="33">
        <f>'Raw data'!B144/'plant information'!$B$20</f>
        <v>14.049751243781095</v>
      </c>
      <c r="C144" s="33">
        <f>('plant information'!$B$22/('Raw data'!B144+'Raw data'!D144))*24</f>
        <v>4.2705382436260626</v>
      </c>
      <c r="D144" s="33">
        <f>('Raw data'!M144-'Raw data'!N144)*100/'Raw data'!M144</f>
        <v>93.035714285714292</v>
      </c>
      <c r="E144" s="51">
        <f>('Raw data'!O144-'Raw data'!P144)*100/'Raw data'!O144</f>
        <v>91.147540983606561</v>
      </c>
      <c r="F144" s="37">
        <f>('Raw data'!Q144-'Raw data'!R144)*100/'Raw data'!Q144</f>
        <v>97.177419354838705</v>
      </c>
    </row>
    <row r="145" spans="1:6" ht="19.95" customHeight="1" x14ac:dyDescent="0.25">
      <c r="A145" s="32">
        <f>((('Raw data'!B145+'Raw data'!D145)/24)*('Raw data'!G145/1000))/'plant information'!$B$20</f>
        <v>1.9087437810945271</v>
      </c>
      <c r="B145" s="33">
        <f>'Raw data'!B145/'plant information'!$B$20</f>
        <v>14.533582089552239</v>
      </c>
      <c r="C145" s="33">
        <f>('plant information'!$B$22/('Raw data'!B145+'Raw data'!D145))*24</f>
        <v>4.1283697047496792</v>
      </c>
      <c r="D145" s="33">
        <f>('Raw data'!M145-'Raw data'!N145)*100/'Raw data'!M145</f>
        <v>93.231707317073173</v>
      </c>
      <c r="E145" s="51">
        <f>('Raw data'!O145-'Raw data'!P145)*100/'Raw data'!O145</f>
        <v>92.765957446808514</v>
      </c>
      <c r="F145" s="37">
        <f>('Raw data'!Q145-'Raw data'!R145)*100/'Raw data'!Q145</f>
        <v>95.992063492063494</v>
      </c>
    </row>
    <row r="146" spans="1:6" ht="19.95" customHeight="1" x14ac:dyDescent="0.25">
      <c r="A146" s="32">
        <f>((('Raw data'!B146+'Raw data'!D146)/24)*('Raw data'!G146/1000))/'plant information'!$B$20</f>
        <v>1.8930839137645104</v>
      </c>
      <c r="B146" s="33">
        <f>'Raw data'!B146/'plant information'!$B$20</f>
        <v>14.547263681592041</v>
      </c>
      <c r="C146" s="33">
        <f>('plant information'!$B$22/('Raw data'!B146+'Raw data'!D146))*24</f>
        <v>4.1244870041039672</v>
      </c>
      <c r="D146" s="33">
        <f>('Raw data'!M146-'Raw data'!N146)*100/'Raw data'!M146</f>
        <v>92.987804878048777</v>
      </c>
      <c r="E146" s="51">
        <f>('Raw data'!O146-'Raw data'!P146)*100/'Raw data'!O146</f>
        <v>91.340782122905026</v>
      </c>
      <c r="F146" s="37">
        <f>('Raw data'!Q146-'Raw data'!R146)*100/'Raw data'!Q146</f>
        <v>97.154471544715449</v>
      </c>
    </row>
    <row r="147" spans="1:6" ht="19.95" customHeight="1" x14ac:dyDescent="0.25">
      <c r="A147" s="32">
        <f>((('Raw data'!B147+'Raw data'!D147)/24)*('Raw data'!G147/1000))/'plant information'!$B$20</f>
        <v>1.8576519071310116</v>
      </c>
      <c r="B147" s="33">
        <f>'Raw data'!B147/'plant information'!$B$20</f>
        <v>14.151741293532337</v>
      </c>
      <c r="C147" s="33">
        <f>('plant information'!$B$22/('Raw data'!B147+'Raw data'!D147))*24</f>
        <v>4.2397609421690987</v>
      </c>
      <c r="D147" s="33">
        <f>('Raw data'!M147-'Raw data'!N147)*100/'Raw data'!M147</f>
        <v>91.944444444444443</v>
      </c>
      <c r="E147" s="51">
        <f>('Raw data'!O147-'Raw data'!P147)*100/'Raw data'!O147</f>
        <v>90.408163265306129</v>
      </c>
      <c r="F147" s="37">
        <f>('Raw data'!Q147-'Raw data'!R147)*100/'Raw data'!Q147</f>
        <v>96.414342629482078</v>
      </c>
    </row>
    <row r="148" spans="1:6" ht="19.95" customHeight="1" x14ac:dyDescent="0.25">
      <c r="A148" s="32">
        <f>((('Raw data'!B148+'Raw data'!D148)/24)*('Raw data'!G148/1000))/'plant information'!$B$20</f>
        <v>1.8104013266998342</v>
      </c>
      <c r="B148" s="33">
        <f>'Raw data'!B148/'plant information'!$B$20</f>
        <v>13.890547263681592</v>
      </c>
      <c r="C148" s="33">
        <f>('plant information'!$B$22/('Raw data'!B148+'Raw data'!D148))*24</f>
        <v>4.3194842406876797</v>
      </c>
      <c r="D148" s="33">
        <f>('Raw data'!M148-'Raw data'!N148)*100/'Raw data'!M148</f>
        <v>89.869281045751634</v>
      </c>
      <c r="E148" s="51">
        <f>('Raw data'!O148-'Raw data'!P148)*100/'Raw data'!O148</f>
        <v>91.666666666666671</v>
      </c>
      <c r="F148" s="37">
        <f>('Raw data'!Q148-'Raw data'!R148)*100/'Raw data'!Q148</f>
        <v>95.582329317269071</v>
      </c>
    </row>
    <row r="149" spans="1:6" ht="19.95" customHeight="1" x14ac:dyDescent="0.25">
      <c r="A149" s="32">
        <f>((('Raw data'!B149+'Raw data'!D149)/24)*('Raw data'!G149/1000))/'plant information'!$B$20</f>
        <v>1.8368236318407958</v>
      </c>
      <c r="B149" s="33">
        <f>'Raw data'!B149/'plant information'!$B$20</f>
        <v>13.894278606965175</v>
      </c>
      <c r="C149" s="33">
        <f>('plant information'!$B$22/('Raw data'!B149+'Raw data'!D149))*24</f>
        <v>4.3183242323874325</v>
      </c>
      <c r="D149" s="33">
        <f>('Raw data'!M149-'Raw data'!N149)*100/'Raw data'!M149</f>
        <v>93.483146067415731</v>
      </c>
      <c r="E149" s="51">
        <f>('Raw data'!O149-'Raw data'!P149)*100/'Raw data'!O149</f>
        <v>92.887029288702934</v>
      </c>
      <c r="F149" s="37">
        <f>('Raw data'!Q149-'Raw data'!R149)*100/'Raw data'!Q149</f>
        <v>96.850393700787407</v>
      </c>
    </row>
    <row r="150" spans="1:6" ht="19.95" customHeight="1" x14ac:dyDescent="0.25">
      <c r="A150" s="32">
        <f>((('Raw data'!B150+'Raw data'!D150)/24)*('Raw data'!G150/1000))/'plant information'!$B$20</f>
        <v>1.8714288557213929</v>
      </c>
      <c r="B150" s="33">
        <f>'Raw data'!B150/'plant information'!$B$20</f>
        <v>14.199004975124378</v>
      </c>
      <c r="C150" s="33">
        <f>('plant information'!$B$22/('Raw data'!B150+'Raw data'!D150))*24</f>
        <v>4.2256482130343382</v>
      </c>
      <c r="D150" s="33">
        <f>('Raw data'!M150-'Raw data'!N150)*100/'Raw data'!M150</f>
        <v>92.378048780487802</v>
      </c>
      <c r="E150" s="51">
        <f>('Raw data'!O150-'Raw data'!P150)*100/'Raw data'!O150</f>
        <v>92.481203007518801</v>
      </c>
      <c r="F150" s="37">
        <f>('Raw data'!Q150-'Raw data'!R150)*100/'Raw data'!Q150</f>
        <v>96.356275303643727</v>
      </c>
    </row>
    <row r="151" spans="1:6" ht="19.95" customHeight="1" x14ac:dyDescent="0.25">
      <c r="A151" s="32">
        <f>((('Raw data'!B151+'Raw data'!D151)/24)*('Raw data'!G151/1000))/'plant information'!$B$20</f>
        <v>1.8674162520729685</v>
      </c>
      <c r="B151" s="33">
        <f>'Raw data'!B151/'plant information'!$B$20</f>
        <v>14.218905472636816</v>
      </c>
      <c r="C151" s="33">
        <f>('plant information'!$B$22/('Raw data'!B151+'Raw data'!D151))*24</f>
        <v>4.2197340797760665</v>
      </c>
      <c r="D151" s="33">
        <f>('Raw data'!M151-'Raw data'!N151)*100/'Raw data'!M151</f>
        <v>91.428571428571445</v>
      </c>
      <c r="E151" s="51">
        <f>('Raw data'!O151-'Raw data'!P151)*100/'Raw data'!O151</f>
        <v>92.208588957055213</v>
      </c>
      <c r="F151" s="3">
        <f>('Raw data'!Q151-'Raw data'!R151)*100/'Raw data'!Q151</f>
        <v>96.8</v>
      </c>
    </row>
    <row r="152" spans="1:6" ht="19.95" customHeight="1" x14ac:dyDescent="0.25">
      <c r="A152" s="32">
        <f>((('Raw data'!B152+'Raw data'!D152)/24)*('Raw data'!G152/1000))/'plant information'!$B$20</f>
        <v>2.0550447761194035</v>
      </c>
      <c r="B152" s="33">
        <f>'Raw data'!B152/'plant information'!$B$20</f>
        <v>14.271144278606965</v>
      </c>
      <c r="C152" s="33">
        <f>('plant information'!$B$22/('Raw data'!B152+'Raw data'!D152))*24</f>
        <v>4.2042879553773744</v>
      </c>
      <c r="D152" s="33">
        <f>('Raw data'!M152-'Raw data'!N152)*100/'Raw data'!M152</f>
        <v>93.661202185792348</v>
      </c>
      <c r="E152" s="51">
        <f>('Raw data'!O152-'Raw data'!P152)*100/'Raw data'!O152</f>
        <v>92.093023255813947</v>
      </c>
      <c r="F152" s="37">
        <f>('Raw data'!Q152-'Raw data'!R152)*100/'Raw data'!Q152</f>
        <v>96.442687747035578</v>
      </c>
    </row>
    <row r="153" spans="1:6" ht="19.95" customHeight="1" x14ac:dyDescent="0.25">
      <c r="A153" s="32">
        <f>((('Raw data'!B153+'Raw data'!D153)/24)*('Raw data'!G153/1000))/'plant information'!$B$20</f>
        <v>2.001686567164179</v>
      </c>
      <c r="B153" s="33">
        <f>'Raw data'!B153/'plant information'!$B$20</f>
        <v>14.017412935323383</v>
      </c>
      <c r="C153" s="33">
        <f>('plant information'!$B$22/('Raw data'!B153+'Raw data'!D153))*24</f>
        <v>4.2803904170363793</v>
      </c>
      <c r="D153" s="33">
        <f>('Raw data'!M153-'Raw data'!N153)*100/'Raw data'!M153</f>
        <v>93.179190751445077</v>
      </c>
      <c r="E153" s="51">
        <f>('Raw data'!O153-'Raw data'!P153)*100/'Raw data'!O153</f>
        <v>93.018018018018012</v>
      </c>
      <c r="F153" s="37">
        <f>('Raw data'!Q153-'Raw data'!R153)*100/'Raw data'!Q153</f>
        <v>96.326530612244895</v>
      </c>
    </row>
    <row r="154" spans="1:6" ht="19.95" customHeight="1" x14ac:dyDescent="0.25">
      <c r="A154" s="32">
        <f>((('Raw data'!B154+'Raw data'!D154)/24)*('Raw data'!G154/1000))/'plant information'!$B$20</f>
        <v>1.9978975124378107</v>
      </c>
      <c r="B154" s="33">
        <f>'Raw data'!B154/'plant information'!$B$20</f>
        <v>13.912935323383085</v>
      </c>
      <c r="C154" s="33">
        <f>('plant information'!$B$22/('Raw data'!B154+'Raw data'!D154))*24</f>
        <v>4.3125335240479181</v>
      </c>
      <c r="D154" s="33">
        <f>('Raw data'!M154-'Raw data'!N154)*100/'Raw data'!M154</f>
        <v>93.419689119170982</v>
      </c>
      <c r="E154" s="51">
        <f>('Raw data'!O154-'Raw data'!P154)*100/'Raw data'!O154</f>
        <v>93.018018018018012</v>
      </c>
      <c r="F154" s="37">
        <f>('Raw data'!Q154-'Raw data'!R154)*100/'Raw data'!Q154</f>
        <v>95.697211155378483</v>
      </c>
    </row>
    <row r="155" spans="1:6" ht="19.95" customHeight="1" x14ac:dyDescent="0.25">
      <c r="A155" s="32">
        <f>((('Raw data'!B155+'Raw data'!D155)/24)*('Raw data'!G155/1000))/'plant information'!$B$20</f>
        <v>1.9979450248756219</v>
      </c>
      <c r="B155" s="33">
        <f>'Raw data'!B155/'plant information'!$B$20</f>
        <v>14.063432835820896</v>
      </c>
      <c r="C155" s="33">
        <f>('plant information'!$B$22/('Raw data'!B155+'Raw data'!D155))*24</f>
        <v>4.2663836561422128</v>
      </c>
      <c r="D155" s="33">
        <f>('Raw data'!M155-'Raw data'!N155)*100/'Raw data'!M155</f>
        <v>91.296296296296291</v>
      </c>
      <c r="E155" s="51">
        <f>('Raw data'!O155-'Raw data'!P155)*100/'Raw data'!O155</f>
        <v>92.033542976939202</v>
      </c>
      <c r="F155" s="37">
        <f>('Raw data'!Q155-'Raw data'!R155)*100/'Raw data'!Q155</f>
        <v>95.846774193548384</v>
      </c>
    </row>
    <row r="156" spans="1:6" ht="19.95" customHeight="1" x14ac:dyDescent="0.25">
      <c r="A156" s="32">
        <f>((('Raw data'!B156+'Raw data'!D156)/24)*('Raw data'!G156/1000))/'plant information'!$B$20</f>
        <v>2.0013575456053068</v>
      </c>
      <c r="B156" s="33">
        <f>'Raw data'!B156/'plant information'!$B$20</f>
        <v>14.080845771144279</v>
      </c>
      <c r="C156" s="33">
        <f>('plant information'!$B$22/('Raw data'!B156+'Raw data'!D156))*24</f>
        <v>4.2611076760003535</v>
      </c>
      <c r="D156" s="33">
        <f>('Raw data'!M156-'Raw data'!N156)*100/'Raw data'!M156</f>
        <v>92.099447513812152</v>
      </c>
      <c r="E156" s="51">
        <f>('Raw data'!O156-'Raw data'!P156)*100/'Raw data'!O156</f>
        <v>91.574468085106389</v>
      </c>
      <c r="F156" s="37">
        <f>('Raw data'!Q156-'Raw data'!R156)*100/'Raw data'!Q156</f>
        <v>94.841269841269835</v>
      </c>
    </row>
    <row r="157" spans="1:6" ht="19.95" customHeight="1" x14ac:dyDescent="0.25">
      <c r="A157" s="32">
        <f>((('Raw data'!B157+'Raw data'!D157)/24)*('Raw data'!G157/1000))/'plant information'!$B$20</f>
        <v>2.0241008291873959</v>
      </c>
      <c r="B157" s="33">
        <f>'Raw data'!B157/'plant information'!$B$20</f>
        <v>14.049751243781095</v>
      </c>
      <c r="C157" s="33">
        <f>('plant information'!$B$22/('Raw data'!B157+'Raw data'!D157))*24</f>
        <v>4.2705382436260626</v>
      </c>
      <c r="D157" s="33">
        <f>('Raw data'!M157-'Raw data'!N157)*100/'Raw data'!M157</f>
        <v>91.436781609195407</v>
      </c>
      <c r="E157" s="51">
        <f>('Raw data'!O157-'Raw data'!P157)*100/'Raw data'!O157</f>
        <v>90.54</v>
      </c>
      <c r="F157" s="37">
        <f>('Raw data'!Q157-'Raw data'!R157)*100/'Raw data'!Q157</f>
        <v>95.528455284552848</v>
      </c>
    </row>
    <row r="158" spans="1:6" ht="19.95" customHeight="1" x14ac:dyDescent="0.25">
      <c r="A158" s="32">
        <f>((('Raw data'!B158+'Raw data'!D158)/24)*('Raw data'!G158/1000))/'plant information'!$B$20</f>
        <v>1.9770878938640131</v>
      </c>
      <c r="B158" s="33">
        <f>'Raw data'!B158/'plant information'!$B$20</f>
        <v>13.890547263681592</v>
      </c>
      <c r="C158" s="33">
        <f>('plant information'!$B$22/('Raw data'!B158+'Raw data'!D158))*24</f>
        <v>4.3194842406876797</v>
      </c>
      <c r="D158" s="33">
        <f>('Raw data'!M158-'Raw data'!N158)*100/'Raw data'!M158</f>
        <v>94.135802469135797</v>
      </c>
      <c r="E158" s="51">
        <f>('Raw data'!O158-'Raw data'!P158)*100/'Raw data'!O158</f>
        <v>92.883720930232556</v>
      </c>
      <c r="F158" s="37">
        <f>('Raw data'!Q158-'Raw data'!R158)*100/'Raw data'!Q158</f>
        <v>93.203883495145632</v>
      </c>
    </row>
    <row r="159" spans="1:6" ht="19.95" customHeight="1" x14ac:dyDescent="0.25">
      <c r="A159" s="32">
        <f>((('Raw data'!B159+'Raw data'!D159)/24)*('Raw data'!G159/1000))/'plant information'!$B$20</f>
        <v>1.9942921227197343</v>
      </c>
      <c r="B159" s="33">
        <f>'Raw data'!B159/'plant information'!$B$20</f>
        <v>13.894278606965175</v>
      </c>
      <c r="C159" s="33">
        <f>('plant information'!$B$22/('Raw data'!B159+'Raw data'!D159))*24</f>
        <v>4.3183242323874325</v>
      </c>
      <c r="D159" s="33">
        <f>('Raw data'!M159-'Raw data'!N159)*100/'Raw data'!M159</f>
        <v>94.845360824742272</v>
      </c>
      <c r="E159" s="51">
        <f>('Raw data'!O159-'Raw data'!P159)*100/'Raw data'!O159</f>
        <v>90.196078431372555</v>
      </c>
      <c r="F159" s="37">
        <f>('Raw data'!Q159-'Raw data'!R159)*100/'Raw data'!Q159</f>
        <v>96.4</v>
      </c>
    </row>
    <row r="160" spans="1:6" ht="19.95" customHeight="1" x14ac:dyDescent="0.25">
      <c r="A160" s="32">
        <f>((('Raw data'!B160+'Raw data'!D160)/24)*('Raw data'!G160/1000))/'plant information'!$B$20</f>
        <v>1.962870646766169</v>
      </c>
      <c r="B160" s="33">
        <f>'Raw data'!B160/'plant information'!$B$20</f>
        <v>13.726368159203981</v>
      </c>
      <c r="C160" s="33">
        <f>('plant information'!$B$22/('Raw data'!B160+'Raw data'!D160))*24</f>
        <v>4.3711489670170351</v>
      </c>
      <c r="D160" s="33">
        <f>('Raw data'!M160-'Raw data'!N160)*100/'Raw data'!M160</f>
        <v>93.03664921465969</v>
      </c>
      <c r="E160" s="51">
        <f>('Raw data'!O160-'Raw data'!P160)*100/'Raw data'!O160</f>
        <v>91</v>
      </c>
      <c r="F160" s="37">
        <f>('Raw data'!Q160-'Raw data'!R160)*100/'Raw data'!Q160</f>
        <v>95.951417004048579</v>
      </c>
    </row>
    <row r="161" spans="1:6" ht="19.95" customHeight="1" x14ac:dyDescent="0.25">
      <c r="A161" s="32">
        <f>((('Raw data'!B161+'Raw data'!D161)/24)*('Raw data'!G161/1000))/'plant information'!$B$20</f>
        <v>2.0038179104477609</v>
      </c>
      <c r="B161" s="33">
        <f>'Raw data'!B161/'plant information'!$B$20</f>
        <v>14.032338308457712</v>
      </c>
      <c r="C161" s="33">
        <f>('plant information'!$B$22/('Raw data'!B161+'Raw data'!D161))*24</f>
        <v>4.2758376174437149</v>
      </c>
      <c r="D161" s="33">
        <f>('Raw data'!M161-'Raw data'!N161)*100/'Raw data'!M161</f>
        <v>91.534090909090907</v>
      </c>
      <c r="E161" s="51">
        <f>('Raw data'!O161-'Raw data'!P161)*100/'Raw data'!O161</f>
        <v>90.463917525773198</v>
      </c>
      <c r="F161" s="37">
        <f>('Raw data'!Q161-'Raw data'!R161)*100/'Raw data'!Q161</f>
        <v>96.047430830039531</v>
      </c>
    </row>
    <row r="162" spans="1:6" ht="19.95" customHeight="1" x14ac:dyDescent="0.25">
      <c r="A162" s="32">
        <f>((('Raw data'!B162+'Raw data'!D162)/24)*('Raw data'!G162/1000))/'plant information'!$B$20</f>
        <v>2.016336650082919</v>
      </c>
      <c r="B162" s="33">
        <f>'Raw data'!B162/'plant information'!$B$20</f>
        <v>14.034825870646767</v>
      </c>
      <c r="C162" s="33">
        <f>('plant information'!$B$22/('Raw data'!B162+'Raw data'!D162))*24</f>
        <v>4.2750797589507261</v>
      </c>
      <c r="D162" s="33">
        <f>('Raw data'!M162-'Raw data'!N162)*100/'Raw data'!M162</f>
        <v>90.994152046783626</v>
      </c>
      <c r="E162" s="51">
        <f>('Raw data'!O162-'Raw data'!P162)*100/'Raw data'!O162</f>
        <v>90.151515151515156</v>
      </c>
      <c r="F162" s="37">
        <f>('Raw data'!Q162-'Raw data'!R162)*100/'Raw data'!Q162</f>
        <v>96.055776892430274</v>
      </c>
    </row>
    <row r="163" spans="1:6" ht="19.95" customHeight="1" x14ac:dyDescent="0.25">
      <c r="A163" s="32">
        <f>((('Raw data'!B163+'Raw data'!D163)/24)*('Raw data'!G163/1000))/'plant information'!$B$20</f>
        <v>1.9655651741293532</v>
      </c>
      <c r="B163" s="33">
        <f>'Raw data'!B163/'plant information'!$B$20</f>
        <v>13.738805970149254</v>
      </c>
      <c r="C163" s="33">
        <f>('plant information'!$B$22/('Raw data'!B163+'Raw data'!D163))*24</f>
        <v>4.3671917436175995</v>
      </c>
      <c r="D163" s="33">
        <f>('Raw data'!M163-'Raw data'!N163)*100/'Raw data'!M163</f>
        <v>92.421052631578945</v>
      </c>
      <c r="E163" s="51">
        <f>('Raw data'!O163-'Raw data'!P163)*100/'Raw data'!O163</f>
        <v>90.15789473684211</v>
      </c>
      <c r="F163" s="37">
        <f>('Raw data'!Q163-'Raw data'!R163)*100/'Raw data'!Q163</f>
        <v>96.774193548387103</v>
      </c>
    </row>
    <row r="164" spans="1:6" ht="19.95" customHeight="1" x14ac:dyDescent="0.25">
      <c r="A164" s="32">
        <f>((('Raw data'!B164+'Raw data'!D164)/24)*('Raw data'!G164/1000))/'plant information'!$B$20</f>
        <v>1.9765562189054724</v>
      </c>
      <c r="B164" s="33">
        <f>'Raw data'!B164/'plant information'!$B$20</f>
        <v>13.738805970149254</v>
      </c>
      <c r="C164" s="33">
        <f>('plant information'!$B$22/('Raw data'!B164+'Raw data'!D164))*24</f>
        <v>4.3671917436175995</v>
      </c>
      <c r="D164" s="33">
        <f>('Raw data'!M164-'Raw data'!N164)*100/'Raw data'!M164</f>
        <v>92.146596858638745</v>
      </c>
      <c r="E164" s="51">
        <f>('Raw data'!O164-'Raw data'!P164)*100/'Raw data'!O164</f>
        <v>90</v>
      </c>
      <c r="F164" s="37">
        <f>('Raw data'!Q164-'Raw data'!R164)*100/'Raw data'!Q164</f>
        <v>96.468253968253961</v>
      </c>
    </row>
    <row r="165" spans="1:6" ht="19.95" customHeight="1" x14ac:dyDescent="0.25">
      <c r="A165" s="32">
        <f>((('Raw data'!B165+'Raw data'!D165)/24)*('Raw data'!G165/1000))/'plant information'!$B$20</f>
        <v>2.066025538971807</v>
      </c>
      <c r="B165" s="33">
        <f>'Raw data'!B165/'plant information'!$B$20</f>
        <v>14.360696517412935</v>
      </c>
      <c r="C165" s="33">
        <f>('plant information'!$B$22/('Raw data'!B165+'Raw data'!D165))*24</f>
        <v>4.1780703273861084</v>
      </c>
      <c r="D165" s="33">
        <f>('Raw data'!M165-'Raw data'!N165)*100/'Raw data'!M165</f>
        <v>92.307692307692307</v>
      </c>
      <c r="E165" s="51">
        <f>('Raw data'!O165-'Raw data'!P165)*100/'Raw data'!O165</f>
        <v>91.5</v>
      </c>
      <c r="F165" s="37">
        <f>('Raw data'!Q165-'Raw data'!R165)*100/'Raw data'!Q165</f>
        <v>95.934959349593498</v>
      </c>
    </row>
    <row r="166" spans="1:6" ht="19.95" customHeight="1" x14ac:dyDescent="0.25">
      <c r="A166" s="32">
        <f>((('Raw data'!B166+'Raw data'!D166)/24)*('Raw data'!G166/1000))/'plant information'!$B$20</f>
        <v>2.0650681592039799</v>
      </c>
      <c r="B166" s="33">
        <f>'Raw data'!B166/'plant information'!$B$20</f>
        <v>14.360696517412935</v>
      </c>
      <c r="C166" s="33">
        <f>('plant information'!$B$22/('Raw data'!B166+'Raw data'!D166))*24</f>
        <v>4.1780703273861084</v>
      </c>
      <c r="D166" s="33">
        <f>('Raw data'!M166-'Raw data'!N166)*100/'Raw data'!M166</f>
        <v>92.197802197802204</v>
      </c>
      <c r="E166" s="51">
        <f>('Raw data'!O166-'Raw data'!P166)*100/'Raw data'!O166</f>
        <v>90.439276485788113</v>
      </c>
      <c r="F166" s="3">
        <f>('Raw data'!Q166-'Raw data'!R166)*100/'Raw data'!Q166</f>
        <v>96</v>
      </c>
    </row>
    <row r="167" spans="1:6" ht="19.95" customHeight="1" x14ac:dyDescent="0.25">
      <c r="A167" s="32">
        <f>((('Raw data'!B167+'Raw data'!D167)/24)*('Raw data'!G167/1000))/'plant information'!$B$20</f>
        <v>2.0120084577114428</v>
      </c>
      <c r="B167" s="33">
        <f>'Raw data'!B167/'plant information'!$B$20</f>
        <v>14.063432835820896</v>
      </c>
      <c r="C167" s="33">
        <f>('plant information'!$B$22/('Raw data'!B167+'Raw data'!D167))*24</f>
        <v>4.2663836561422128</v>
      </c>
      <c r="D167" s="33">
        <f>('Raw data'!M167-'Raw data'!N167)*100/'Raw data'!M167</f>
        <v>94.652406417112303</v>
      </c>
      <c r="E167" s="51">
        <f>('Raw data'!O167-'Raw data'!P167)*100/'Raw data'!O167</f>
        <v>90.666666666666671</v>
      </c>
      <c r="F167" s="37">
        <f>('Raw data'!Q167-'Raw data'!R167)*100/'Raw data'!Q167</f>
        <v>96.850393700787407</v>
      </c>
    </row>
    <row r="168" spans="1:6" ht="19.95" customHeight="1" x14ac:dyDescent="0.25">
      <c r="A168" s="32">
        <f>((('Raw data'!B168+'Raw data'!D168)/24)*('Raw data'!G168/1000))/'plant information'!$B$20</f>
        <v>2.0306573797678276</v>
      </c>
      <c r="B168" s="33">
        <f>'Raw data'!B168/'plant information'!$B$20</f>
        <v>14.049751243781095</v>
      </c>
      <c r="C168" s="33">
        <f>('plant information'!$B$22/('Raw data'!B168+'Raw data'!D168))*24</f>
        <v>4.2705382436260626</v>
      </c>
      <c r="D168" s="33">
        <f>('Raw data'!M168-'Raw data'!N168)*100/'Raw data'!M168</f>
        <v>94.891304347826093</v>
      </c>
      <c r="E168" s="51">
        <f>('Raw data'!O168-'Raw data'!P168)*100/'Raw data'!O168</f>
        <v>91.315789473684205</v>
      </c>
      <c r="F168" s="37">
        <f>('Raw data'!Q168-'Raw data'!R168)*100/'Raw data'!Q168</f>
        <v>96.787148594377513</v>
      </c>
    </row>
    <row r="169" spans="1:6" ht="19.95" customHeight="1" x14ac:dyDescent="0.25">
      <c r="A169" s="32">
        <f>((('Raw data'!B169+'Raw data'!D169)/24)*('Raw data'!G169/1000))/'plant information'!$B$20</f>
        <v>1.9766927031509116</v>
      </c>
      <c r="B169" s="33">
        <f>'Raw data'!B169/'plant information'!$B$20</f>
        <v>13.894278606965175</v>
      </c>
      <c r="C169" s="33">
        <f>('plant information'!$B$22/('Raw data'!B169+'Raw data'!D169))*24</f>
        <v>4.3183242323874325</v>
      </c>
      <c r="D169" s="33">
        <f>('Raw data'!M169-'Raw data'!N169)*100/'Raw data'!M169</f>
        <v>91.666666666666671</v>
      </c>
      <c r="E169" s="51">
        <f>('Raw data'!O169-'Raw data'!P169)*100/'Raw data'!O169</f>
        <v>90.25</v>
      </c>
      <c r="F169" s="37">
        <f>('Raw data'!Q169-'Raw data'!R169)*100/'Raw data'!Q169</f>
        <v>96.414342629482078</v>
      </c>
    </row>
    <row r="170" spans="1:6" ht="19.95" customHeight="1" x14ac:dyDescent="0.25">
      <c r="A170" s="32">
        <f>((('Raw data'!B170+'Raw data'!D170)/24)*('Raw data'!G170/1000))/'plant information'!$B$20</f>
        <v>1.9449398839137644</v>
      </c>
      <c r="B170" s="33">
        <f>'Raw data'!B170/'plant information'!$B$20</f>
        <v>13.588308457711443</v>
      </c>
      <c r="C170" s="33">
        <f>('plant information'!$B$22/('Raw data'!B170+'Raw data'!D170))*24</f>
        <v>4.4155606407322656</v>
      </c>
      <c r="D170" s="33">
        <f>('Raw data'!M170-'Raw data'!N170)*100/'Raw data'!M170</f>
        <v>92.546583850931682</v>
      </c>
      <c r="E170" s="51">
        <f>('Raw data'!O170-'Raw data'!P170)*100/'Raw data'!O170</f>
        <v>91.761904761904759</v>
      </c>
      <c r="F170" s="37">
        <f>('Raw data'!Q170-'Raw data'!R170)*100/'Raw data'!Q170</f>
        <v>96.356275303643727</v>
      </c>
    </row>
    <row r="171" spans="1:6" ht="19.95" customHeight="1" x14ac:dyDescent="0.25">
      <c r="A171" s="32">
        <f>((('Raw data'!B171+'Raw data'!D171)/24)*('Raw data'!G171/1000))/'plant information'!$B$20</f>
        <v>1.9682779436152573</v>
      </c>
      <c r="B171" s="33">
        <f>'Raw data'!B171/'plant information'!$B$20</f>
        <v>13.618159203980099</v>
      </c>
      <c r="C171" s="33">
        <f>('plant information'!$B$22/('Raw data'!B171+'Raw data'!D171))*24</f>
        <v>4.4058818156909307</v>
      </c>
      <c r="D171" s="33">
        <f>('Raw data'!M171-'Raw data'!N171)*100/'Raw data'!M171</f>
        <v>91.666666666666671</v>
      </c>
      <c r="E171" s="51">
        <f>('Raw data'!O171-'Raw data'!P171)*100/'Raw data'!O171</f>
        <v>91.36363636363636</v>
      </c>
      <c r="F171" s="37">
        <f>('Raw data'!Q171-'Raw data'!R171)*100/'Raw data'!Q171</f>
        <v>95.810276679841891</v>
      </c>
    </row>
    <row r="172" spans="1:6" ht="19.95" customHeight="1" x14ac:dyDescent="0.25">
      <c r="A172" s="32">
        <f>((('Raw data'!B172+'Raw data'!D172)/24)*('Raw data'!G172/1000))/'plant information'!$B$20</f>
        <v>1.9144582089552236</v>
      </c>
      <c r="B172" s="33">
        <f>'Raw data'!B172/'plant information'!$B$20</f>
        <v>13.425373134328359</v>
      </c>
      <c r="C172" s="33">
        <f>('plant information'!$B$22/('Raw data'!B172+'Raw data'!D172))*24</f>
        <v>4.4691495275152855</v>
      </c>
      <c r="D172" s="33">
        <f>('Raw data'!M172-'Raw data'!N172)*100/'Raw data'!M172</f>
        <v>92.903930131004373</v>
      </c>
      <c r="E172" s="51">
        <f>('Raw data'!O172-'Raw data'!P172)*100/'Raw data'!O172</f>
        <v>92.708333333333329</v>
      </c>
      <c r="F172" s="37">
        <f>('Raw data'!Q172-'Raw data'!R172)*100/'Raw data'!Q172</f>
        <v>96.774193548387103</v>
      </c>
    </row>
    <row r="173" spans="1:6" ht="19.95" customHeight="1" x14ac:dyDescent="0.25">
      <c r="A173" s="32">
        <f>((('Raw data'!B173+'Raw data'!D173)/24)*('Raw data'!G173/1000))/'plant information'!$B$20</f>
        <v>1.9319976782752903</v>
      </c>
      <c r="B173" s="33">
        <f>'Raw data'!B173/'plant information'!$B$20</f>
        <v>13.441542288557214</v>
      </c>
      <c r="C173" s="33">
        <f>('plant information'!$B$22/('Raw data'!B173+'Raw data'!D173))*24</f>
        <v>4.4637734801517528</v>
      </c>
      <c r="D173" s="33">
        <f>('Raw data'!M173-'Raw data'!N173)*100/'Raw data'!M173</f>
        <v>91.676300578034684</v>
      </c>
      <c r="E173" s="51">
        <f>('Raw data'!O173-'Raw data'!P173)*100/'Raw data'!O173</f>
        <v>90.325581395348834</v>
      </c>
      <c r="F173" s="37">
        <f>('Raw data'!Q173-'Raw data'!R173)*100/'Raw data'!Q173</f>
        <v>95.634920634920633</v>
      </c>
    </row>
    <row r="174" spans="1:6" ht="19.95" customHeight="1" x14ac:dyDescent="0.25">
      <c r="A174" s="32">
        <f>((('Raw data'!B174+'Raw data'!D174)/24)*('Raw data'!G174/1000))/'plant information'!$B$20</f>
        <v>1.969642951907131</v>
      </c>
      <c r="B174" s="33">
        <f>'Raw data'!B174/'plant information'!$B$20</f>
        <v>13.66542288557214</v>
      </c>
      <c r="C174" s="33">
        <f>('plant information'!$B$22/('Raw data'!B174+'Raw data'!D174))*24</f>
        <v>4.3906434877582594</v>
      </c>
      <c r="D174" s="33">
        <f>('Raw data'!M174-'Raw data'!N174)*100/'Raw data'!M174</f>
        <v>91.117647058823536</v>
      </c>
      <c r="E174" s="51">
        <f>('Raw data'!O174-'Raw data'!P174)*100/'Raw data'!O174</f>
        <v>90.744186046511629</v>
      </c>
      <c r="F174" s="37">
        <f>('Raw data'!Q174-'Raw data'!R174)*100/'Raw data'!Q174</f>
        <v>95.894308943089428</v>
      </c>
    </row>
    <row r="175" spans="1:6" ht="19.95" customHeight="1" x14ac:dyDescent="0.25">
      <c r="A175" s="32">
        <f>((('Raw data'!B175+'Raw data'!D175)/24)*('Raw data'!G175/1000))/'plant information'!$B$20</f>
        <v>1.9697910447761193</v>
      </c>
      <c r="B175" s="33">
        <f>'Raw data'!B175/'plant information'!$B$20</f>
        <v>13.67910447761194</v>
      </c>
      <c r="C175" s="33">
        <f>('plant information'!$B$22/('Raw data'!B175+'Raw data'!D175))*24</f>
        <v>4.3862520458265148</v>
      </c>
      <c r="D175" s="33">
        <f>('Raw data'!M175-'Raw data'!N175)*100/'Raw data'!M175</f>
        <v>92.340425531914889</v>
      </c>
      <c r="E175" s="51">
        <f>('Raw data'!O175-'Raw data'!P175)*100/'Raw data'!O175</f>
        <v>90.769230769230774</v>
      </c>
      <c r="F175" s="37">
        <f>('Raw data'!Q175-'Raw data'!R175)*100/'Raw data'!Q175</f>
        <v>95.896414342629484</v>
      </c>
    </row>
    <row r="176" spans="1:6" ht="19.95" customHeight="1" x14ac:dyDescent="0.25">
      <c r="A176" s="32">
        <f>((('Raw data'!B176+'Raw data'!D176)/24)*('Raw data'!G176/1000))/'plant information'!$B$20</f>
        <v>2.0231641791044774</v>
      </c>
      <c r="B176" s="33">
        <f>'Raw data'!B176/'plant information'!$B$20</f>
        <v>14.049751243781095</v>
      </c>
      <c r="C176" s="33">
        <f>('plant information'!$B$22/('Raw data'!B176+'Raw data'!D176))*24</f>
        <v>4.2705382436260626</v>
      </c>
      <c r="D176" s="33">
        <f>('Raw data'!M176-'Raw data'!N176)*100/'Raw data'!M176</f>
        <v>95.393939393939391</v>
      </c>
      <c r="E176" s="51">
        <f>('Raw data'!O176-'Raw data'!P176)*100/'Raw data'!O176</f>
        <v>92.733333333333334</v>
      </c>
      <c r="F176" s="37">
        <f>('Raw data'!Q176-'Raw data'!R176)*100/'Raw data'!Q176</f>
        <v>95.714285714285708</v>
      </c>
    </row>
    <row r="177" spans="1:6" ht="19.95" customHeight="1" x14ac:dyDescent="0.25">
      <c r="A177" s="32">
        <f>((('Raw data'!B177+'Raw data'!D177)/24)*('Raw data'!G177/1000))/'plant information'!$B$20</f>
        <v>1.9297605306799335</v>
      </c>
      <c r="B177" s="33">
        <f>'Raw data'!B177/'plant information'!$B$20</f>
        <v>13.577114427860696</v>
      </c>
      <c r="C177" s="33">
        <f>('plant information'!$B$22/('Raw data'!B177+'Raw data'!D177))*24</f>
        <v>4.419201172590693</v>
      </c>
      <c r="D177" s="33">
        <f>('Raw data'!M177-'Raw data'!N177)*100/'Raw data'!M177</f>
        <v>92.285714285714292</v>
      </c>
      <c r="E177" s="51">
        <f>('Raw data'!O177-'Raw data'!P177)*100/'Raw data'!O177</f>
        <v>90</v>
      </c>
      <c r="F177" s="37">
        <f>('Raw data'!Q177-'Raw data'!R177)*100/'Raw data'!Q177</f>
        <v>96.456692913385822</v>
      </c>
    </row>
    <row r="178" spans="1:6" ht="19.95" customHeight="1" x14ac:dyDescent="0.25">
      <c r="A178" s="32">
        <f>((('Raw data'!B178+'Raw data'!D178)/24)*('Raw data'!G178/1000))/'plant information'!$B$20</f>
        <v>2.0138835820895524</v>
      </c>
      <c r="B178" s="33">
        <f>'Raw data'!B178/'plant information'!$B$20</f>
        <v>14.063432835820896</v>
      </c>
      <c r="C178" s="33">
        <f>('plant information'!$B$22/('Raw data'!B178+'Raw data'!D178))*24</f>
        <v>4.2663836561422128</v>
      </c>
      <c r="D178" s="33">
        <f>('Raw data'!M178-'Raw data'!N178)*100/'Raw data'!M178</f>
        <v>91.566265060240966</v>
      </c>
      <c r="E178" s="51">
        <f>('Raw data'!O178-'Raw data'!P178)*100/'Raw data'!O178</f>
        <v>89.285714285714292</v>
      </c>
      <c r="F178" s="37">
        <f>('Raw data'!Q178-'Raw data'!R178)*100/'Raw data'!Q178</f>
        <v>95.708502024291505</v>
      </c>
    </row>
    <row r="179" spans="1:6" ht="19.95" customHeight="1" x14ac:dyDescent="0.25">
      <c r="A179" s="32">
        <f>((('Raw data'!B179+'Raw data'!D179)/24)*('Raw data'!G179/1000))/'plant information'!$B$20</f>
        <v>2.0209298507462683</v>
      </c>
      <c r="B179" s="33">
        <f>'Raw data'!B179/'plant information'!$B$20</f>
        <v>14.205223880597014</v>
      </c>
      <c r="C179" s="33">
        <f>('plant information'!$B$22/('Raw data'!B179+'Raw data'!D179))*24</f>
        <v>4.2237982663514586</v>
      </c>
      <c r="D179" s="33">
        <f>('Raw data'!M179-'Raw data'!N179)*100/'Raw data'!M179</f>
        <v>92.61363636363636</v>
      </c>
      <c r="E179" s="51">
        <f>('Raw data'!O179-'Raw data'!P179)*100/'Raw data'!O179</f>
        <v>90.05263157894737</v>
      </c>
      <c r="F179" s="3">
        <f>('Raw data'!Q179-'Raw data'!R179)*100/'Raw data'!Q179</f>
        <v>96.24</v>
      </c>
    </row>
    <row r="180" spans="1:6" ht="19.95" customHeight="1" x14ac:dyDescent="0.25">
      <c r="A180" s="32">
        <f>((('Raw data'!B180+'Raw data'!D180)/24)*('Raw data'!G180/1000))/'plant information'!$B$20</f>
        <v>2.0515165008291878</v>
      </c>
      <c r="B180" s="33">
        <f>'Raw data'!B180/'plant information'!$B$20</f>
        <v>14.240049751243781</v>
      </c>
      <c r="C180" s="33">
        <f>('plant information'!$B$22/('Raw data'!B180+'Raw data'!D180))*24</f>
        <v>4.2134684251899728</v>
      </c>
      <c r="D180" s="33">
        <f>('Raw data'!M180-'Raw data'!N180)*100/'Raw data'!M180</f>
        <v>95.052083333333329</v>
      </c>
      <c r="E180" s="51">
        <f>('Raw data'!O180-'Raw data'!P180)*100/'Raw data'!O180</f>
        <v>90.6875</v>
      </c>
      <c r="F180" s="37">
        <f>('Raw data'!Q180-'Raw data'!R180)*100/'Raw data'!Q180</f>
        <v>97.391304347826093</v>
      </c>
    </row>
    <row r="181" spans="1:6" ht="19.95" customHeight="1" x14ac:dyDescent="0.25">
      <c r="A181" s="32">
        <f>((('Raw data'!B181+'Raw data'!D181)/24)*('Raw data'!G181/1000))/'plant information'!$B$20</f>
        <v>2.0345099502487565</v>
      </c>
      <c r="B181" s="33">
        <f>'Raw data'!B181/'plant information'!$B$20</f>
        <v>14.063432835820896</v>
      </c>
      <c r="C181" s="33">
        <f>('plant information'!$B$22/('Raw data'!B181+'Raw data'!D181))*24</f>
        <v>4.2663836561422128</v>
      </c>
      <c r="D181" s="33">
        <f>('Raw data'!M181-'Raw data'!N181)*100/'Raw data'!M181</f>
        <v>92.17647058823529</v>
      </c>
      <c r="E181" s="51">
        <f>('Raw data'!O181-'Raw data'!P181)*100/'Raw data'!O181</f>
        <v>91.37777777777778</v>
      </c>
      <c r="F181" s="37">
        <f>('Raw data'!Q181-'Raw data'!R181)*100/'Raw data'!Q181</f>
        <v>95.91836734693878</v>
      </c>
    </row>
    <row r="182" spans="1:6" ht="19.95" customHeight="1" x14ac:dyDescent="0.25">
      <c r="A182" s="32">
        <f>((('Raw data'!B182+'Raw data'!D182)/24)*('Raw data'!G182/1000))/'plant information'!$B$20</f>
        <v>1.9280987562189056</v>
      </c>
      <c r="B182" s="33">
        <f>'Raw data'!B182/'plant information'!$B$20</f>
        <v>13.752487562189055</v>
      </c>
      <c r="C182" s="33">
        <f>('plant information'!$B$22/('Raw data'!B182+'Raw data'!D182))*24</f>
        <v>4.3628470652075606</v>
      </c>
      <c r="D182" s="33">
        <f>('Raw data'!M182-'Raw data'!N182)*100/'Raw data'!M182</f>
        <v>91.388888888888886</v>
      </c>
      <c r="E182" s="51">
        <f>('Raw data'!O182-'Raw data'!P182)*100/'Raw data'!O182</f>
        <v>90.270270270270274</v>
      </c>
      <c r="F182" s="37">
        <f>('Raw data'!Q182-'Raw data'!R182)*100/'Raw data'!Q182</f>
        <v>94.661354581673308</v>
      </c>
    </row>
    <row r="183" spans="1:6" ht="19.95" customHeight="1" x14ac:dyDescent="0.25">
      <c r="A183" s="32">
        <f>((('Raw data'!B183+'Raw data'!D183)/24)*('Raw data'!G183/1000))/'plant information'!$B$20</f>
        <v>1.8932074626865674</v>
      </c>
      <c r="B183" s="33">
        <f>'Raw data'!B183/'plant information'!$B$20</f>
        <v>13.738805970149254</v>
      </c>
      <c r="C183" s="33">
        <f>('plant information'!$B$22/('Raw data'!B183+'Raw data'!D183))*24</f>
        <v>4.3671917436175995</v>
      </c>
      <c r="D183" s="33">
        <f>('Raw data'!M183-'Raw data'!N183)*100/'Raw data'!M183</f>
        <v>92.842639593908629</v>
      </c>
      <c r="E183" s="51">
        <f>('Raw data'!O183-'Raw data'!P183)*100/'Raw data'!O183</f>
        <v>89.365079365079367</v>
      </c>
      <c r="F183" s="37">
        <f>('Raw data'!Q183-'Raw data'!R183)*100/'Raw data'!Q183</f>
        <v>96.008064516129039</v>
      </c>
    </row>
    <row r="184" spans="1:6" ht="19.95" customHeight="1" x14ac:dyDescent="0.25">
      <c r="A184" s="32">
        <f>((('Raw data'!B184+'Raw data'!D184)/24)*('Raw data'!G184/1000))/'plant information'!$B$20</f>
        <v>1.8790053067993366</v>
      </c>
      <c r="B184" s="33">
        <f>'Raw data'!B184/'plant information'!$B$20</f>
        <v>13.427860696517413</v>
      </c>
      <c r="C184" s="33">
        <f>('plant information'!$B$22/('Raw data'!B184+'Raw data'!D184))*24</f>
        <v>4.4683216005928124</v>
      </c>
      <c r="D184" s="33">
        <f>('Raw data'!M184-'Raw data'!N184)*100/'Raw data'!M184</f>
        <v>90.588235294117652</v>
      </c>
      <c r="E184" s="51">
        <f>('Raw data'!O184-'Raw data'!P184)*100/'Raw data'!O184</f>
        <v>89.729729729729726</v>
      </c>
      <c r="F184" s="37">
        <f>('Raw data'!Q184-'Raw data'!R184)*100/'Raw data'!Q184</f>
        <v>96.031746031746039</v>
      </c>
    </row>
    <row r="185" spans="1:6" ht="19.95" customHeight="1" x14ac:dyDescent="0.25">
      <c r="A185" s="32">
        <f>((('Raw data'!B185+'Raw data'!D185)/24)*('Raw data'!G185/1000))/'plant information'!$B$20</f>
        <v>1.9060303482587064</v>
      </c>
      <c r="B185" s="33">
        <f>'Raw data'!B185/'plant information'!$B$20</f>
        <v>13.738805970149254</v>
      </c>
      <c r="C185" s="33">
        <f>('plant information'!$B$22/('Raw data'!B185+'Raw data'!D185))*24</f>
        <v>4.3671917436175995</v>
      </c>
      <c r="D185" s="33">
        <f>('Raw data'!M185-'Raw data'!N185)*100/'Raw data'!M185</f>
        <v>94.268292682926827</v>
      </c>
      <c r="E185" s="51">
        <f>('Raw data'!O185-'Raw data'!P185)*100/'Raw data'!O185</f>
        <v>90.395480225988706</v>
      </c>
      <c r="F185" s="37">
        <f>('Raw data'!Q185-'Raw data'!R185)*100/'Raw data'!Q185</f>
        <v>96.626016260162601</v>
      </c>
    </row>
    <row r="186" spans="1:6" ht="19.95" customHeight="1" x14ac:dyDescent="0.25">
      <c r="A186" s="32">
        <f>((('Raw data'!B186+'Raw data'!D186)/24)*('Raw data'!G186/1000))/'plant information'!$B$20</f>
        <v>1.9277048092868987</v>
      </c>
      <c r="B186" s="33">
        <f>'Raw data'!B186/'plant information'!$B$20</f>
        <v>13.756218905472636</v>
      </c>
      <c r="C186" s="33">
        <f>('plant information'!$B$22/('Raw data'!B186+'Raw data'!D186))*24</f>
        <v>4.3616636528028927</v>
      </c>
      <c r="D186" s="33">
        <f>('Raw data'!M186-'Raw data'!N186)*100/'Raw data'!M186</f>
        <v>94.81481481481481</v>
      </c>
      <c r="E186" s="51">
        <f>('Raw data'!O186-'Raw data'!P186)*100/'Raw data'!O186</f>
        <v>88.148148148148152</v>
      </c>
      <c r="F186" s="37">
        <f>('Raw data'!Q186-'Raw data'!R186)*100/'Raw data'!Q186</f>
        <v>97.086614173228341</v>
      </c>
    </row>
    <row r="187" spans="1:6" ht="19.95" customHeight="1" x14ac:dyDescent="0.25">
      <c r="A187" s="32">
        <f>((('Raw data'!B187+'Raw data'!D187)/24)*('Raw data'!G187/1000))/'plant information'!$B$20</f>
        <v>1.8772166666666665</v>
      </c>
      <c r="B187" s="33">
        <f>'Raw data'!B187/'plant information'!$B$20</f>
        <v>13.583333333333334</v>
      </c>
      <c r="C187" s="33">
        <f>('plant information'!$B$22/('Raw data'!B187+'Raw data'!D187))*24</f>
        <v>4.4171779141104297</v>
      </c>
      <c r="D187" s="33">
        <f>('Raw data'!M187-'Raw data'!N187)*100/'Raw data'!M187</f>
        <v>91.818181818181813</v>
      </c>
      <c r="E187" s="51">
        <f>('Raw data'!O187-'Raw data'!P187)*100/'Raw data'!O187</f>
        <v>90.319148936170208</v>
      </c>
      <c r="F187" s="3">
        <f>('Raw data'!Q187-'Raw data'!R187)*100/'Raw data'!Q187</f>
        <v>94.4</v>
      </c>
    </row>
    <row r="188" spans="1:6" ht="19.95" customHeight="1" x14ac:dyDescent="0.25">
      <c r="A188" s="32">
        <f>((('Raw data'!B188+'Raw data'!D188)/24)*('Raw data'!G188/1000))/'plant information'!$B$20</f>
        <v>1.8945174129353235</v>
      </c>
      <c r="B188" s="33">
        <f>'Raw data'!B188/'plant information'!$B$20</f>
        <v>13.597014925373134</v>
      </c>
      <c r="C188" s="33">
        <f>('plant information'!$B$22/('Raw data'!B188+'Raw data'!D188))*24</f>
        <v>4.4127332601536766</v>
      </c>
      <c r="D188" s="33">
        <f>('Raw data'!M188-'Raw data'!N188)*100/'Raw data'!M188</f>
        <v>90.882352941176464</v>
      </c>
      <c r="E188" s="51">
        <f>('Raw data'!O188-'Raw data'!P188)*100/'Raw data'!O188</f>
        <v>92.448979591836732</v>
      </c>
      <c r="F188" s="37">
        <f>('Raw data'!Q188-'Raw data'!R188)*100/'Raw data'!Q188</f>
        <v>95.546558704453446</v>
      </c>
    </row>
    <row r="189" spans="1:6" ht="19.95" customHeight="1" x14ac:dyDescent="0.25">
      <c r="A189" s="32">
        <f>((('Raw data'!B189+'Raw data'!D189)/24)*('Raw data'!G189/1000))/'plant information'!$B$20</f>
        <v>1.8424415422885574</v>
      </c>
      <c r="B189" s="33">
        <f>'Raw data'!B189/'plant information'!$B$20</f>
        <v>13.25497512437811</v>
      </c>
      <c r="C189" s="33">
        <f>('plant information'!$B$22/('Raw data'!B189+'Raw data'!D189))*24</f>
        <v>4.5266022332739038</v>
      </c>
      <c r="D189" s="33">
        <f>('Raw data'!M189-'Raw data'!N189)*100/'Raw data'!M189</f>
        <v>92.081218274111677</v>
      </c>
      <c r="E189" s="51">
        <f>('Raw data'!O189-'Raw data'!P189)*100/'Raw data'!O189</f>
        <v>90</v>
      </c>
      <c r="F189" s="37">
        <f>('Raw data'!Q189-'Raw data'!R189)*100/'Raw data'!Q189</f>
        <v>95.256916996047437</v>
      </c>
    </row>
    <row r="190" spans="1:6" ht="19.95" customHeight="1" x14ac:dyDescent="0.25">
      <c r="A190" s="32">
        <f>((('Raw data'!B190+'Raw data'!D190)/24)*('Raw data'!G190/1000))/'plant information'!$B$20</f>
        <v>1.8563646766169151</v>
      </c>
      <c r="B190" s="33">
        <f>'Raw data'!B190/'plant information'!$B$20</f>
        <v>13.272388059701493</v>
      </c>
      <c r="C190" s="33">
        <f>('plant information'!$B$22/('Raw data'!B190+'Raw data'!D190))*24</f>
        <v>4.5206634804610628</v>
      </c>
      <c r="D190" s="33">
        <f>('Raw data'!M190-'Raw data'!N190)*100/'Raw data'!M190</f>
        <v>92.835051546391753</v>
      </c>
      <c r="E190" s="51">
        <f>('Raw data'!O190-'Raw data'!P190)*100/'Raw data'!O190</f>
        <v>90.527777777777771</v>
      </c>
      <c r="F190" s="37">
        <f>('Raw data'!Q190-'Raw data'!R190)*100/'Raw data'!Q190</f>
        <v>95.73705179282868</v>
      </c>
    </row>
    <row r="191" spans="1:6" ht="19.95" customHeight="1" x14ac:dyDescent="0.25">
      <c r="A191" s="32">
        <f>((('Raw data'!B191+'Raw data'!D191)/24)*('Raw data'!G191/1000))/'plant information'!$B$20</f>
        <v>1.9051779436152569</v>
      </c>
      <c r="B191" s="33">
        <f>'Raw data'!B191/'plant information'!$B$20</f>
        <v>13.752487562189055</v>
      </c>
      <c r="C191" s="33">
        <f>('plant information'!$B$22/('Raw data'!B191+'Raw data'!D191))*24</f>
        <v>4.3628470652075606</v>
      </c>
      <c r="D191" s="33">
        <f>('Raw data'!M191-'Raw data'!N191)*100/'Raw data'!M191</f>
        <v>91.483516483516482</v>
      </c>
      <c r="E191" s="51">
        <f>('Raw data'!O191-'Raw data'!P191)*100/'Raw data'!O191</f>
        <v>90.434782608695656</v>
      </c>
      <c r="F191" s="37">
        <f>('Raw data'!Q191-'Raw data'!R191)*100/'Raw data'!Q191</f>
        <v>95.443548387096769</v>
      </c>
    </row>
    <row r="192" spans="1:6" ht="19.95" customHeight="1" x14ac:dyDescent="0.25">
      <c r="A192" s="32">
        <f>((('Raw data'!B192+'Raw data'!D192)/24)*('Raw data'!G192/1000))/'plant information'!$B$20</f>
        <v>1.9227990049751247</v>
      </c>
      <c r="B192" s="33">
        <f>'Raw data'!B192/'plant information'!$B$20</f>
        <v>13.773631840796019</v>
      </c>
      <c r="C192" s="33">
        <f>('plant information'!$B$22/('Raw data'!B192+'Raw data'!D192))*24</f>
        <v>4.3561495394618017</v>
      </c>
      <c r="D192" s="33">
        <f>('Raw data'!M192-'Raw data'!N192)*100/'Raw data'!M192</f>
        <v>91.871657754010698</v>
      </c>
      <c r="E192" s="51">
        <f>('Raw data'!O192-'Raw data'!P192)*100/'Raw data'!O192</f>
        <v>90</v>
      </c>
      <c r="F192" s="37">
        <f>('Raw data'!Q192-'Raw data'!R192)*100/'Raw data'!Q192</f>
        <v>95.595238095238102</v>
      </c>
    </row>
    <row r="193" spans="1:6" ht="19.95" customHeight="1" x14ac:dyDescent="0.25">
      <c r="A193" s="32">
        <f>((('Raw data'!B193+'Raw data'!D193)/24)*('Raw data'!G193/1000))/'plant information'!$B$20</f>
        <v>1.858071641791045</v>
      </c>
      <c r="B193" s="33">
        <f>'Raw data'!B193/'plant information'!$B$20</f>
        <v>13.425373134328359</v>
      </c>
      <c r="C193" s="33">
        <f>('plant information'!$B$22/('Raw data'!B193+'Raw data'!D193))*24</f>
        <v>4.4691495275152855</v>
      </c>
      <c r="D193" s="33">
        <f>('Raw data'!M193-'Raw data'!N193)*100/'Raw data'!M193</f>
        <v>91.411764705882348</v>
      </c>
      <c r="E193" s="51">
        <f>('Raw data'!O193-'Raw data'!P193)*100/'Raw data'!O193</f>
        <v>87.878787878787875</v>
      </c>
      <c r="F193" s="37">
        <f>('Raw data'!Q193-'Raw data'!R193)*100/'Raw data'!Q193</f>
        <v>95.528455284552848</v>
      </c>
    </row>
    <row r="194" spans="1:6" ht="19.95" customHeight="1" x14ac:dyDescent="0.25">
      <c r="A194" s="32">
        <f>((('Raw data'!B194+'Raw data'!D194)/24)*('Raw data'!G194/1000))/'plant information'!$B$20</f>
        <v>1.8541116915422888</v>
      </c>
      <c r="B194" s="33">
        <f>'Raw data'!B194/'plant information'!$B$20</f>
        <v>13.42910447761194</v>
      </c>
      <c r="C194" s="33">
        <f>('plant information'!$B$22/('Raw data'!B194+'Raw data'!D194))*24</f>
        <v>4.4679077521533754</v>
      </c>
      <c r="D194" s="33">
        <f>('Raw data'!M194-'Raw data'!N194)*100/'Raw data'!M194</f>
        <v>92.421052631578945</v>
      </c>
      <c r="E194" s="51">
        <f>('Raw data'!O194-'Raw data'!P194)*100/'Raw data'!O194</f>
        <v>90.758293838862556</v>
      </c>
      <c r="F194" s="3">
        <f>('Raw data'!Q194-'Raw data'!R194)*100/'Raw data'!Q194</f>
        <v>95.56</v>
      </c>
    </row>
    <row r="195" spans="1:6" ht="19.95" customHeight="1" x14ac:dyDescent="0.25">
      <c r="A195" s="32">
        <f>((('Raw data'!B195+'Raw data'!D195)/24)*('Raw data'!G195/1000))/'plant information'!$B$20</f>
        <v>1.8209890547263681</v>
      </c>
      <c r="B195" s="33">
        <f>'Raw data'!B195/'plant information'!$B$20</f>
        <v>13.182835820895523</v>
      </c>
      <c r="C195" s="33">
        <f>('plant information'!$B$22/('Raw data'!B195+'Raw data'!D195))*24</f>
        <v>4.5513727710161334</v>
      </c>
      <c r="D195" s="33">
        <f>('Raw data'!M195-'Raw data'!N195)*100/'Raw data'!M195</f>
        <v>91.743589743589737</v>
      </c>
      <c r="E195" s="51">
        <f>('Raw data'!O195-'Raw data'!P195)*100/'Raw data'!O195</f>
        <v>91.851851851851848</v>
      </c>
      <c r="F195" s="37">
        <f>('Raw data'!Q195-'Raw data'!R195)*100/'Raw data'!Q195</f>
        <v>94.881889763779526</v>
      </c>
    </row>
    <row r="196" spans="1:6" ht="19.95" customHeight="1" x14ac:dyDescent="0.25">
      <c r="A196" s="32">
        <f>((('Raw data'!B196+'Raw data'!D196)/24)*('Raw data'!G196/1000))/'plant information'!$B$20</f>
        <v>1.8188789386401325</v>
      </c>
      <c r="B196" s="33">
        <f>'Raw data'!B196/'plant information'!$B$20</f>
        <v>13.116915422885572</v>
      </c>
      <c r="C196" s="33">
        <f>('plant information'!$B$22/('Raw data'!B196+'Raw data'!D196))*24</f>
        <v>4.5742461596813966</v>
      </c>
      <c r="D196" s="33">
        <f>('Raw data'!M196-'Raw data'!N196)*100/'Raw data'!M196</f>
        <v>90.67073170731706</v>
      </c>
      <c r="E196" s="51">
        <f>('Raw data'!O196-'Raw data'!P196)*100/'Raw data'!O196</f>
        <v>85.098039215686271</v>
      </c>
      <c r="F196" s="37">
        <f>('Raw data'!Q196-'Raw data'!R196)*100/'Raw data'!Q196</f>
        <v>95.341365461847388</v>
      </c>
    </row>
    <row r="197" spans="1:6" ht="19.95" customHeight="1" x14ac:dyDescent="0.25">
      <c r="A197" s="32">
        <f>((('Raw data'!B197+'Raw data'!D197)/24)*('Raw data'!G197/1000))/'plant information'!$B$20</f>
        <v>1.8618212271973462</v>
      </c>
      <c r="B197" s="33">
        <f>'Raw data'!B197/'plant information'!$B$20</f>
        <v>13.286069651741293</v>
      </c>
      <c r="C197" s="33">
        <f>('plant information'!$B$22/('Raw data'!B197+'Raw data'!D197))*24</f>
        <v>4.5160082381576485</v>
      </c>
      <c r="D197" s="33">
        <f>('Raw data'!M197-'Raw data'!N197)*100/'Raw data'!M197</f>
        <v>91.428571428571431</v>
      </c>
      <c r="E197" s="51">
        <f>('Raw data'!O197-'Raw data'!P197)*100/'Raw data'!O197</f>
        <v>89.777777777777771</v>
      </c>
      <c r="F197" s="37">
        <f>('Raw data'!Q197-'Raw data'!R197)*100/'Raw data'!Q197</f>
        <v>96.17529880478088</v>
      </c>
    </row>
    <row r="198" spans="1:6" ht="19.95" customHeight="1" x14ac:dyDescent="0.25">
      <c r="A198" s="32">
        <f>((('Raw data'!B198+'Raw data'!D198)/24)*('Raw data'!G198/1000))/'plant information'!$B$20</f>
        <v>1.8387930348258705</v>
      </c>
      <c r="B198" s="33">
        <f>'Raw data'!B198/'plant information'!$B$20</f>
        <v>13.235074626865671</v>
      </c>
      <c r="C198" s="33">
        <f>('plant information'!$B$22/('Raw data'!B198+'Raw data'!D198))*24</f>
        <v>4.5334085142373839</v>
      </c>
      <c r="D198" s="33">
        <f>('Raw data'!M198-'Raw data'!N198)*100/'Raw data'!M198</f>
        <v>91.379310344827587</v>
      </c>
      <c r="E198" s="51">
        <f>('Raw data'!O198-'Raw data'!P198)*100/'Raw data'!O198</f>
        <v>87.243401759530798</v>
      </c>
      <c r="F198" s="37">
        <f>('Raw data'!Q198-'Raw data'!R198)*100/'Raw data'!Q198</f>
        <v>95.829959514170042</v>
      </c>
    </row>
    <row r="199" spans="1:6" ht="19.95" customHeight="1" x14ac:dyDescent="0.25">
      <c r="A199" s="32">
        <f>((('Raw data'!B199+'Raw data'!D199)/24)*('Raw data'!G199/1000))/'plant information'!$B$20</f>
        <v>1.861673631840796</v>
      </c>
      <c r="B199" s="33">
        <f>'Raw data'!B199/'plant information'!$B$20</f>
        <v>13.272388059701493</v>
      </c>
      <c r="C199" s="33">
        <f>('plant information'!$B$22/('Raw data'!B199+'Raw data'!D199))*24</f>
        <v>4.5206634804610628</v>
      </c>
      <c r="D199" s="33">
        <f>('Raw data'!M199-'Raw data'!N199)*100/'Raw data'!M199</f>
        <v>94.642857142857139</v>
      </c>
      <c r="E199" s="51">
        <f>('Raw data'!O199-'Raw data'!P199)*100/'Raw data'!O199</f>
        <v>91.860465116279073</v>
      </c>
      <c r="F199" s="37">
        <f>('Raw data'!Q199-'Raw data'!R199)*100/'Raw data'!Q199</f>
        <v>96.837944664031625</v>
      </c>
    </row>
    <row r="200" spans="1:6" ht="19.95" customHeight="1" x14ac:dyDescent="0.25">
      <c r="A200" s="32">
        <f>((('Raw data'!B200+'Raw data'!D200)/24)*('Raw data'!G200/1000))/'plant information'!$B$20</f>
        <v>1.899123880597015</v>
      </c>
      <c r="B200" s="33">
        <f>'Raw data'!B200/'plant information'!$B$20</f>
        <v>13.58457711442786</v>
      </c>
      <c r="C200" s="33">
        <f>('plant information'!$B$22/('Raw data'!B200+'Raw data'!D200))*24</f>
        <v>4.4167734847097595</v>
      </c>
      <c r="D200" s="33">
        <f>('Raw data'!M200-'Raw data'!N200)*100/'Raw data'!M200</f>
        <v>92.552083333333329</v>
      </c>
      <c r="E200" s="51">
        <f>('Raw data'!O200-'Raw data'!P200)*100/'Raw data'!O200</f>
        <v>89.005524861878456</v>
      </c>
      <c r="F200" s="37">
        <f>('Raw data'!Q200-'Raw data'!R200)*100/'Raw data'!Q200</f>
        <v>96.290322580645167</v>
      </c>
    </row>
    <row r="201" spans="1:6" ht="19.95" customHeight="1" x14ac:dyDescent="0.25">
      <c r="A201" s="32">
        <f>((('Raw data'!B201+'Raw data'!D201)/24)*('Raw data'!G201/1000))/'plant information'!$B$20</f>
        <v>1.8727621890547264</v>
      </c>
      <c r="B201" s="33">
        <f>'Raw data'!B201/'plant information'!$B$20</f>
        <v>13.597014925373134</v>
      </c>
      <c r="C201" s="33">
        <f>('plant information'!$B$22/('Raw data'!B201+'Raw data'!D201))*24</f>
        <v>4.4127332601536766</v>
      </c>
      <c r="D201" s="33">
        <f>('Raw data'!M201-'Raw data'!N201)*100/'Raw data'!M201</f>
        <v>94.535519125683066</v>
      </c>
      <c r="E201" s="51">
        <f>('Raw data'!O201-'Raw data'!P201)*100/'Raw data'!O201</f>
        <v>91.388888888888886</v>
      </c>
      <c r="F201" s="37">
        <f>('Raw data'!Q201-'Raw data'!R201)*100/'Raw data'!Q201</f>
        <v>97.182539682539684</v>
      </c>
    </row>
    <row r="202" spans="1:6" ht="19.95" customHeight="1" x14ac:dyDescent="0.25">
      <c r="A202" s="32">
        <f>((('Raw data'!B202+'Raw data'!D202)/24)*('Raw data'!G202/1000))/'plant information'!$B$20</f>
        <v>1.8360378109452735</v>
      </c>
      <c r="B202" s="33">
        <f>'Raw data'!B202/'plant information'!$B$20</f>
        <v>13.266169154228855</v>
      </c>
      <c r="C202" s="33">
        <f>('plant information'!$B$22/('Raw data'!B202+'Raw data'!D202))*24</f>
        <v>4.5227826739171206</v>
      </c>
      <c r="D202" s="33">
        <f>('Raw data'!M202-'Raw data'!N202)*100/'Raw data'!M202</f>
        <v>91.736842105263165</v>
      </c>
      <c r="E202" s="51">
        <f>('Raw data'!O202-'Raw data'!P202)*100/'Raw data'!O202</f>
        <v>87.845303867403317</v>
      </c>
      <c r="F202" s="37">
        <f>('Raw data'!Q202-'Raw data'!R202)*100/'Raw data'!Q202</f>
        <v>96.341463414634148</v>
      </c>
    </row>
    <row r="203" spans="1:6" ht="19.95" customHeight="1" x14ac:dyDescent="0.25">
      <c r="A203" s="32">
        <f>((('Raw data'!B203+'Raw data'!D203)/24)*('Raw data'!G203/1000))/'plant information'!$B$20</f>
        <v>1.8510728026533996</v>
      </c>
      <c r="B203" s="33">
        <f>'Raw data'!B203/'plant information'!$B$20</f>
        <v>13.266169154228855</v>
      </c>
      <c r="C203" s="33">
        <f>('plant information'!$B$22/('Raw data'!B203+'Raw data'!D203))*24</f>
        <v>4.5227826739171206</v>
      </c>
      <c r="D203" s="33">
        <f>('Raw data'!M203-'Raw data'!N203)*100/'Raw data'!M203</f>
        <v>92.432432432432435</v>
      </c>
      <c r="E203" s="51">
        <f>('Raw data'!O203-'Raw data'!P203)*100/'Raw data'!O203</f>
        <v>87.428571428571431</v>
      </c>
      <c r="F203" s="37">
        <f>('Raw data'!Q203-'Raw data'!R203)*100/'Raw data'!Q203</f>
        <v>96.374501992031867</v>
      </c>
    </row>
    <row r="204" spans="1:6" ht="19.95" customHeight="1" x14ac:dyDescent="0.25">
      <c r="A204" s="32">
        <f>((('Raw data'!B204+'Raw data'!D204)/24)*('Raw data'!G204/1000))/'plant information'!$B$20</f>
        <v>1.8609354892205636</v>
      </c>
      <c r="B204" s="33">
        <f>'Raw data'!B204/'plant information'!$B$20</f>
        <v>13.286069651741293</v>
      </c>
      <c r="C204" s="33">
        <f>('plant information'!$B$22/('Raw data'!B204+'Raw data'!D204))*24</f>
        <v>4.5160082381576485</v>
      </c>
      <c r="D204" s="33">
        <f>('Raw data'!M204-'Raw data'!N204)*100/'Raw data'!M204</f>
        <v>92.5</v>
      </c>
      <c r="E204" s="51">
        <f>('Raw data'!O204-'Raw data'!P204)*100/'Raw data'!O204</f>
        <v>88.52459016393442</v>
      </c>
      <c r="F204" s="37">
        <f>('Raw data'!Q204-'Raw data'!R204)*100/'Raw data'!Q204</f>
        <v>95.582329317269071</v>
      </c>
    </row>
    <row r="205" spans="1:6" ht="19.95" customHeight="1" x14ac:dyDescent="0.25">
      <c r="A205" s="32">
        <f>((('Raw data'!B205+'Raw data'!D205)/24)*('Raw data'!G205/1000))/'plant information'!$B$20</f>
        <v>1.8745751243781097</v>
      </c>
      <c r="B205" s="33">
        <f>'Raw data'!B205/'plant information'!$B$20</f>
        <v>13.597014925373134</v>
      </c>
      <c r="C205" s="33">
        <f>('plant information'!$B$22/('Raw data'!B205+'Raw data'!D205))*24</f>
        <v>4.4127332601536766</v>
      </c>
      <c r="D205" s="33">
        <f>('Raw data'!M205-'Raw data'!N205)*100/'Raw data'!M205</f>
        <v>91.111111111111114</v>
      </c>
      <c r="E205" s="51">
        <f>('Raw data'!O205-'Raw data'!P205)*100/'Raw data'!O205</f>
        <v>87.142857142857139</v>
      </c>
      <c r="F205" s="37">
        <f>('Raw data'!Q205-'Raw data'!R205)*100/'Raw data'!Q205</f>
        <v>96.023622047244089</v>
      </c>
    </row>
    <row r="206" spans="1:6" ht="19.95" customHeight="1" x14ac:dyDescent="0.25">
      <c r="A206" s="32">
        <f>((('Raw data'!B206+'Raw data'!D206)/24)*('Raw data'!G206/1000))/'plant information'!$B$20</f>
        <v>1.8958496683250414</v>
      </c>
      <c r="B206" s="33">
        <f>'Raw data'!B206/'plant information'!$B$20</f>
        <v>13.66542288557214</v>
      </c>
      <c r="C206" s="33">
        <f>('plant information'!$B$22/('Raw data'!B206+'Raw data'!D206))*24</f>
        <v>4.3906434877582594</v>
      </c>
      <c r="D206" s="33">
        <f>('Raw data'!M206-'Raw data'!N206)*100/'Raw data'!M206</f>
        <v>92.25</v>
      </c>
      <c r="E206" s="51">
        <f>('Raw data'!O206-'Raw data'!P206)*100/'Raw data'!O206</f>
        <v>90.304709141274245</v>
      </c>
      <c r="F206" s="37">
        <f>('Raw data'!Q206-'Raw data'!R206)*100/'Raw data'!Q206</f>
        <v>95.546558704453446</v>
      </c>
    </row>
    <row r="207" spans="1:6" ht="19.95" customHeight="1" x14ac:dyDescent="0.25">
      <c r="A207" s="32">
        <f>((('Raw data'!B207+'Raw data'!D207)/24)*('Raw data'!G207/1000))/'plant information'!$B$20</f>
        <v>1.849112769485904</v>
      </c>
      <c r="B207" s="33">
        <f>'Raw data'!B207/'plant information'!$B$20</f>
        <v>13.271144278606965</v>
      </c>
      <c r="C207" s="33">
        <f>('plant information'!$B$22/('Raw data'!B207+'Raw data'!D207))*24</f>
        <v>4.5210871602624181</v>
      </c>
      <c r="D207" s="33">
        <f>('Raw data'!M207-'Raw data'!N207)*100/'Raw data'!M207</f>
        <v>92.366863905325445</v>
      </c>
      <c r="E207" s="51">
        <f>('Raw data'!O207-'Raw data'!P207)*100/'Raw data'!O207</f>
        <v>89.890109890109883</v>
      </c>
      <c r="F207" s="3">
        <f>('Raw data'!Q207-'Raw data'!R207)*100/'Raw data'!Q207</f>
        <v>96.2</v>
      </c>
    </row>
    <row r="208" spans="1:6" ht="19.95" customHeight="1" x14ac:dyDescent="0.25">
      <c r="A208" s="32">
        <f>((('Raw data'!B208+'Raw data'!D208)/24)*('Raw data'!G208/1000))/'plant information'!$B$20</f>
        <v>1.8538495854063017</v>
      </c>
      <c r="B208" s="33">
        <f>'Raw data'!B208/'plant information'!$B$20</f>
        <v>13.286069651741293</v>
      </c>
      <c r="C208" s="33">
        <f>('plant information'!$B$22/('Raw data'!B208+'Raw data'!D208))*24</f>
        <v>4.5160082381576485</v>
      </c>
      <c r="D208" s="33">
        <f>('Raw data'!M208-'Raw data'!N208)*100/'Raw data'!M208</f>
        <v>91.151515151515156</v>
      </c>
      <c r="E208" s="51">
        <f>('Raw data'!O208-'Raw data'!P208)*100/'Raw data'!O208</f>
        <v>89.375000000000014</v>
      </c>
      <c r="F208" s="37">
        <f>('Raw data'!Q208-'Raw data'!R208)*100/'Raw data'!Q208</f>
        <v>95.691699604743079</v>
      </c>
    </row>
    <row r="209" spans="1:6" ht="19.95" customHeight="1" x14ac:dyDescent="0.25">
      <c r="A209" s="32">
        <f>((('Raw data'!B209+'Raw data'!D209)/24)*('Raw data'!G209/1000))/'plant information'!$B$20</f>
        <v>1.8358416252072971</v>
      </c>
      <c r="B209" s="33">
        <f>'Raw data'!B209/'plant information'!$B$20</f>
        <v>13.271144278606965</v>
      </c>
      <c r="C209" s="33">
        <f>('plant information'!$B$22/('Raw data'!B209+'Raw data'!D209))*24</f>
        <v>4.5210871602624181</v>
      </c>
      <c r="D209" s="33">
        <f>('Raw data'!M209-'Raw data'!N209)*100/'Raw data'!M209</f>
        <v>91.812865497076018</v>
      </c>
      <c r="E209" s="51">
        <f>('Raw data'!O209-'Raw data'!P209)*100/'Raw data'!O209</f>
        <v>90.410958904109592</v>
      </c>
      <c r="F209" s="37">
        <f>('Raw data'!Q209-'Raw data'!R209)*100/'Raw data'!Q209</f>
        <v>96.408163265306129</v>
      </c>
    </row>
    <row r="210" spans="1:6" ht="19.95" customHeight="1" x14ac:dyDescent="0.25">
      <c r="A210" s="32">
        <f>((('Raw data'!B210+'Raw data'!D210)/24)*('Raw data'!G210/1000))/'plant information'!$B$20</f>
        <v>1.8423349917081262</v>
      </c>
      <c r="B210" s="33">
        <f>'Raw data'!B210/'plant information'!$B$20</f>
        <v>13.286069651741293</v>
      </c>
      <c r="C210" s="33">
        <f>('plant information'!$B$22/('Raw data'!B210+'Raw data'!D210))*24</f>
        <v>4.5160082381576485</v>
      </c>
      <c r="D210" s="33">
        <f>('Raw data'!M210-'Raw data'!N210)*100/'Raw data'!M210</f>
        <v>92.1875</v>
      </c>
      <c r="E210" s="51">
        <f>('Raw data'!O210-'Raw data'!P210)*100/'Raw data'!O210</f>
        <v>89.444444444444443</v>
      </c>
      <c r="F210" s="37">
        <f>('Raw data'!Q210-'Raw data'!R210)*100/'Raw data'!Q210</f>
        <v>96.414342629482078</v>
      </c>
    </row>
    <row r="211" spans="1:6" ht="19.95" customHeight="1" x14ac:dyDescent="0.25">
      <c r="A211" s="32">
        <f>((('Raw data'!B211+'Raw data'!D211)/24)*('Raw data'!G211/1000))/'plant information'!$B$20</f>
        <v>1.8386910447761196</v>
      </c>
      <c r="B211" s="33">
        <f>'Raw data'!B211/'plant information'!$B$20</f>
        <v>13.266169154228855</v>
      </c>
      <c r="C211" s="33">
        <f>('plant information'!$B$22/('Raw data'!B211+'Raw data'!D211))*24</f>
        <v>4.5227826739171206</v>
      </c>
      <c r="D211" s="33">
        <f>('Raw data'!M211-'Raw data'!N211)*100/'Raw data'!M211</f>
        <v>91.627906976744185</v>
      </c>
      <c r="E211" s="51">
        <f>('Raw data'!O211-'Raw data'!P211)*100/'Raw data'!O211</f>
        <v>88.596491228070178</v>
      </c>
      <c r="F211" s="37">
        <f>('Raw data'!Q211-'Raw data'!R211)*100/'Raw data'!Q211</f>
        <v>96.129032258064512</v>
      </c>
    </row>
    <row r="212" spans="1:6" ht="19.95" customHeight="1" x14ac:dyDescent="0.25">
      <c r="A212" s="32">
        <f>((('Raw data'!B212+'Raw data'!D212)/24)*('Raw data'!G212/1000))/'plant information'!$B$20</f>
        <v>1.9725384742951908</v>
      </c>
      <c r="B212" s="33">
        <f>'Raw data'!B212/'plant information'!$B$20</f>
        <v>13.286069651741293</v>
      </c>
      <c r="C212" s="33">
        <f>('plant information'!$B$22/('Raw data'!B212+'Raw data'!D212))*24</f>
        <v>4.5160082381576485</v>
      </c>
      <c r="D212" s="33">
        <f>('Raw data'!M212-'Raw data'!N212)*100/'Raw data'!M212</f>
        <v>91.513513513513516</v>
      </c>
      <c r="E212" s="51">
        <f>('Raw data'!O212-'Raw data'!P212)*100/'Raw data'!O212</f>
        <v>90.021739130434781</v>
      </c>
      <c r="F212" s="37">
        <f>('Raw data'!Q212-'Raw data'!R212)*100/'Raw data'!Q212</f>
        <v>95.634920634920633</v>
      </c>
    </row>
    <row r="213" spans="1:6" ht="19.95" customHeight="1" x14ac:dyDescent="0.25">
      <c r="A213" s="32">
        <f>((('Raw data'!B213+'Raw data'!D213)/24)*('Raw data'!G213/1000))/'plant information'!$B$20</f>
        <v>2.0547049129353234</v>
      </c>
      <c r="B213" s="33">
        <f>'Raw data'!B213/'plant information'!$B$20</f>
        <v>13.271144278606965</v>
      </c>
      <c r="C213" s="33">
        <f>('plant information'!$B$22/('Raw data'!B213+'Raw data'!D213))*24</f>
        <v>4.3840845190423448</v>
      </c>
      <c r="D213" s="33">
        <f>('Raw data'!M213-'Raw data'!N213)*100/'Raw data'!M213</f>
        <v>90.983606557377044</v>
      </c>
      <c r="E213" s="51">
        <f>('Raw data'!O213-'Raw data'!P213)*100/'Raw data'!O213</f>
        <v>88.411764705882362</v>
      </c>
      <c r="F213" s="37">
        <f>('Raw data'!Q213-'Raw data'!R213)*100/'Raw data'!Q213</f>
        <v>96.341463414634148</v>
      </c>
    </row>
    <row r="214" spans="1:6" ht="19.95" customHeight="1" x14ac:dyDescent="0.25">
      <c r="A214" s="32">
        <f>((('Raw data'!B214+'Raw data'!D214)/24)*('Raw data'!G214/1000))/'plant information'!$B$20</f>
        <v>1.9606439676616918</v>
      </c>
      <c r="B214" s="33">
        <f>'Raw data'!B214/'plant information'!$B$20</f>
        <v>12.64676616915423</v>
      </c>
      <c r="C214" s="33">
        <f>('plant information'!$B$22/('Raw data'!B214+'Raw data'!D214))*24</f>
        <v>4.6005292897503756</v>
      </c>
      <c r="D214" s="33">
        <f>('Raw data'!M214-'Raw data'!N214)*100/'Raw data'!M214</f>
        <v>95.431472081218274</v>
      </c>
      <c r="E214" s="51">
        <f>('Raw data'!O214-'Raw data'!P214)*100/'Raw data'!O214</f>
        <v>93.078758949880665</v>
      </c>
      <c r="F214" s="37">
        <f>('Raw data'!Q214-'Raw data'!R214)*100/'Raw data'!Q214</f>
        <v>96.850393700787407</v>
      </c>
    </row>
    <row r="215" spans="1:6" ht="19.95" customHeight="1" x14ac:dyDescent="0.25">
      <c r="A215" s="32">
        <f>((('Raw data'!B215+'Raw data'!D215)/24)*('Raw data'!G215/1000))/'plant information'!$B$20</f>
        <v>2.0360071361940295</v>
      </c>
      <c r="B215" s="33">
        <f>'Raw data'!B215/'plant information'!$B$20</f>
        <v>13.286069651741293</v>
      </c>
      <c r="C215" s="33">
        <f>('plant information'!$B$22/('Raw data'!B215+'Raw data'!D215))*24</f>
        <v>4.3791595036680224</v>
      </c>
      <c r="D215" s="33">
        <f>('Raw data'!M215-'Raw data'!N215)*100/'Raw data'!M215</f>
        <v>92.166666666666671</v>
      </c>
      <c r="E215" s="51">
        <f>('Raw data'!O215-'Raw data'!P215)*100/'Raw data'!O215</f>
        <v>91.121495327102807</v>
      </c>
      <c r="F215" s="3">
        <f>('Raw data'!Q215-'Raw data'!R215)*100/'Raw data'!Q215</f>
        <v>96.4</v>
      </c>
    </row>
    <row r="216" spans="1:6" ht="19.95" customHeight="1" x14ac:dyDescent="0.25">
      <c r="A216" s="32">
        <f>((('Raw data'!B216+'Raw data'!D216)/24)*('Raw data'!G216/1000))/'plant information'!$B$20</f>
        <v>2.0364570895522389</v>
      </c>
      <c r="B216" s="33">
        <f>'Raw data'!B216/'plant information'!$B$20</f>
        <v>13.271144278606965</v>
      </c>
      <c r="C216" s="33">
        <f>('plant information'!$B$22/('Raw data'!B216+'Raw data'!D216))*24</f>
        <v>4.3840845190423448</v>
      </c>
      <c r="D216" s="33">
        <f>('Raw data'!M216-'Raw data'!N216)*100/'Raw data'!M216</f>
        <v>92.5</v>
      </c>
      <c r="E216" s="51">
        <f>('Raw data'!O216-'Raw data'!P216)*100/'Raw data'!O216</f>
        <v>90.714285714285708</v>
      </c>
      <c r="F216" s="37">
        <f>('Raw data'!Q216-'Raw data'!R216)*100/'Raw data'!Q216</f>
        <v>96.761133603238861</v>
      </c>
    </row>
    <row r="217" spans="1:6" ht="19.95" customHeight="1" x14ac:dyDescent="0.25">
      <c r="A217" s="32">
        <f>((('Raw data'!B217+'Raw data'!D217)/24)*('Raw data'!G217/1000))/'plant information'!$B$20</f>
        <v>2.0506218128109452</v>
      </c>
      <c r="B217" s="33">
        <f>'Raw data'!B217/'plant information'!$B$20</f>
        <v>13.286069651741293</v>
      </c>
      <c r="C217" s="33">
        <f>('plant information'!$B$22/('Raw data'!B217+'Raw data'!D217))*24</f>
        <v>4.3791595036680224</v>
      </c>
      <c r="D217" s="33">
        <f>('Raw data'!M217-'Raw data'!N217)*100/'Raw data'!M217</f>
        <v>94.082840236686394</v>
      </c>
      <c r="E217" s="51">
        <f>('Raw data'!O217-'Raw data'!P217)*100/'Raw data'!O217</f>
        <v>91.566265060240966</v>
      </c>
      <c r="F217" s="37">
        <f>('Raw data'!Q217-'Raw data'!R217)*100/'Raw data'!Q217</f>
        <v>97.233201581027672</v>
      </c>
    </row>
    <row r="218" spans="1:6" ht="19.95" customHeight="1" x14ac:dyDescent="0.25">
      <c r="A218" s="32">
        <f>((('Raw data'!B218+'Raw data'!D218)/24)*('Raw data'!G218/1000))/'plant information'!$B$20</f>
        <v>2.0590832789179103</v>
      </c>
      <c r="B218" s="33">
        <f>'Raw data'!B218/'plant information'!$B$20</f>
        <v>13.317164179104477</v>
      </c>
      <c r="C218" s="33">
        <f>('plant information'!$B$22/('Raw data'!B218+'Raw data'!D218))*24</f>
        <v>4.3689345118316822</v>
      </c>
      <c r="D218" s="33">
        <f>('Raw data'!M218-'Raw data'!N218)*100/'Raw data'!M218</f>
        <v>90.969696969696969</v>
      </c>
      <c r="E218" s="51">
        <f>('Raw data'!O218-'Raw data'!P218)*100/'Raw data'!O218</f>
        <v>90.092165898617509</v>
      </c>
      <c r="F218" s="37">
        <f>('Raw data'!Q218-'Raw data'!R218)*100/'Raw data'!Q218</f>
        <v>96.015936254980076</v>
      </c>
    </row>
    <row r="219" spans="1:6" ht="19.95" customHeight="1" x14ac:dyDescent="0.25">
      <c r="A219" s="32">
        <f>((('Raw data'!B219+'Raw data'!D219)/24)*('Raw data'!G219/1000))/'plant information'!$B$20</f>
        <v>2.0424010572139304</v>
      </c>
      <c r="B219" s="33">
        <f>'Raw data'!B219/'plant information'!$B$20</f>
        <v>13.286069651741293</v>
      </c>
      <c r="C219" s="33">
        <f>('plant information'!$B$22/('Raw data'!B219+'Raw data'!D219))*24</f>
        <v>4.3791595036680224</v>
      </c>
      <c r="D219" s="33">
        <f>('Raw data'!M219-'Raw data'!N219)*100/'Raw data'!M219</f>
        <v>93.505747126436773</v>
      </c>
      <c r="E219" s="51">
        <f>('Raw data'!O219-'Raw data'!P219)*100/'Raw data'!O219</f>
        <v>91.04408352668213</v>
      </c>
      <c r="F219" s="37">
        <f>('Raw data'!Q219-'Raw data'!R219)*100/'Raw data'!Q219</f>
        <v>96.935483870967744</v>
      </c>
    </row>
    <row r="220" spans="1:6" ht="19.95" customHeight="1" x14ac:dyDescent="0.25">
      <c r="A220" s="32">
        <f>((('Raw data'!B220+'Raw data'!D220)/24)*('Raw data'!G220/1000))/'plant information'!$B$20</f>
        <v>2.0260409514925377</v>
      </c>
      <c r="B220" s="33">
        <f>'Raw data'!B220/'plant information'!$B$20</f>
        <v>13.26865671641791</v>
      </c>
      <c r="C220" s="33">
        <f>('plant information'!$B$22/('Raw data'!B220+'Raw data'!D220))*24</f>
        <v>4.384906432150526</v>
      </c>
      <c r="D220" s="33">
        <f>('Raw data'!M220-'Raw data'!N220)*100/'Raw data'!M220</f>
        <v>92.011494252873561</v>
      </c>
      <c r="E220" s="51">
        <f>('Raw data'!O220-'Raw data'!P220)*100/'Raw data'!O220</f>
        <v>91.162790697674424</v>
      </c>
      <c r="F220" s="37">
        <f>('Raw data'!Q220-'Raw data'!R220)*100/'Raw data'!Q220</f>
        <v>96.031746031746039</v>
      </c>
    </row>
    <row r="221" spans="1:6" ht="19.95" customHeight="1" x14ac:dyDescent="0.25">
      <c r="A221" s="32">
        <f>((('Raw data'!B221+'Raw data'!D221)/24)*('Raw data'!G221/1000))/'plant information'!$B$20</f>
        <v>1.9319516169154232</v>
      </c>
      <c r="B221" s="33">
        <f>'Raw data'!B221/'plant information'!$B$20</f>
        <v>12.64676616915423</v>
      </c>
      <c r="C221" s="33">
        <f>('plant information'!$B$22/('Raw data'!B221+'Raw data'!D221))*24</f>
        <v>4.6005292897503756</v>
      </c>
      <c r="D221" s="33">
        <f>('Raw data'!M221-'Raw data'!N221)*100/'Raw data'!M221</f>
        <v>94.565217391304344</v>
      </c>
      <c r="E221" s="51">
        <f>('Raw data'!O221-'Raw data'!P221)*100/'Raw data'!O221</f>
        <v>92.965686274509807</v>
      </c>
      <c r="F221" s="37">
        <f>('Raw data'!Q221-'Raw data'!R221)*100/'Raw data'!Q221</f>
        <v>96.103896103896105</v>
      </c>
    </row>
    <row r="222" spans="1:6" ht="19.95" customHeight="1" x14ac:dyDescent="0.25">
      <c r="A222" s="32">
        <f>((('Raw data'!B222+'Raw data'!D222)/24)*('Raw data'!G222/1000))/'plant information'!$B$20</f>
        <v>2.1711379975124379</v>
      </c>
      <c r="B222" s="33">
        <f>'Raw data'!B222/'plant information'!$B$20</f>
        <v>14.218905472636816</v>
      </c>
      <c r="C222" s="33">
        <f>('plant information'!$B$22/('Raw data'!B222+'Raw data'!D222))*24</f>
        <v>4.0918633500858839</v>
      </c>
      <c r="D222" s="33">
        <f>('Raw data'!M222-'Raw data'!N222)*100/'Raw data'!M222</f>
        <v>92.406417112299465</v>
      </c>
      <c r="E222" s="51">
        <f>('Raw data'!O222-'Raw data'!P222)*100/'Raw data'!O222</f>
        <v>90.443349753694577</v>
      </c>
      <c r="F222" s="3">
        <f>('Raw data'!Q222-'Raw data'!R222)*100/'Raw data'!Q222</f>
        <v>96</v>
      </c>
    </row>
    <row r="223" spans="1:6" ht="19.95" customHeight="1" x14ac:dyDescent="0.25">
      <c r="A223" s="32">
        <f>((('Raw data'!B223+'Raw data'!D223)/24)*('Raw data'!G223/1000))/'plant information'!$B$20</f>
        <v>2.2153045708955226</v>
      </c>
      <c r="B223" s="33">
        <f>'Raw data'!B223/'plant information'!$B$20</f>
        <v>14.359452736318408</v>
      </c>
      <c r="C223" s="33">
        <f>('plant information'!$B$22/('Raw data'!B223+'Raw data'!D223))*24</f>
        <v>4.0518130635064376</v>
      </c>
      <c r="D223" s="33">
        <f>('Raw data'!M223-'Raw data'!N223)*100/'Raw data'!M223</f>
        <v>92.61363636363636</v>
      </c>
      <c r="E223" s="51">
        <f>('Raw data'!O223-'Raw data'!P223)*100/'Raw data'!O223</f>
        <v>90.661764705882348</v>
      </c>
      <c r="F223" s="37">
        <f>('Raw data'!Q223-'Raw data'!R223)*100/'Raw data'!Q223</f>
        <v>96.062992125984252</v>
      </c>
    </row>
    <row r="224" spans="1:6" ht="19.95" customHeight="1" x14ac:dyDescent="0.25">
      <c r="A224" s="32">
        <f>((('Raw data'!B224+'Raw data'!D224)/24)*('Raw data'!G224/1000))/'plant information'!$B$20</f>
        <v>2.1899365049751243</v>
      </c>
      <c r="B224" s="33">
        <f>'Raw data'!B224/'plant information'!$B$20</f>
        <v>14.374378109452737</v>
      </c>
      <c r="C224" s="33">
        <f>('plant information'!$B$22/('Raw data'!B224+'Raw data'!D224))*24</f>
        <v>4.0476059373697169</v>
      </c>
      <c r="D224" s="33">
        <f>('Raw data'!M224-'Raw data'!N224)*100/'Raw data'!M224</f>
        <v>94.204545454545453</v>
      </c>
      <c r="E224" s="51">
        <f>('Raw data'!O224-'Raw data'!P224)*100/'Raw data'!O224</f>
        <v>92.592592592592595</v>
      </c>
      <c r="F224" s="37">
        <f>('Raw data'!Q224-'Raw data'!R224)*100/'Raw data'!Q224</f>
        <v>96.867469879518069</v>
      </c>
    </row>
    <row r="225" spans="1:6" ht="19.95" customHeight="1" x14ac:dyDescent="0.25">
      <c r="A225" s="32">
        <f>((('Raw data'!B225+'Raw data'!D225)/24)*('Raw data'!G225/1000))/'plant information'!$B$20</f>
        <v>2.2203299906716421</v>
      </c>
      <c r="B225" s="33">
        <f>'Raw data'!B225/'plant information'!$B$20</f>
        <v>14.514925373134329</v>
      </c>
      <c r="C225" s="33">
        <f>('plant information'!$B$22/('Raw data'!B225+'Raw data'!D225))*24</f>
        <v>4.0084131806496845</v>
      </c>
      <c r="D225" s="33">
        <f>('Raw data'!M225-'Raw data'!N225)*100/'Raw data'!M225</f>
        <v>91.377245508982043</v>
      </c>
      <c r="E225" s="51">
        <f>('Raw data'!O225-'Raw data'!P225)*100/'Raw data'!O225</f>
        <v>91.588785046728972</v>
      </c>
      <c r="F225" s="37">
        <f>('Raw data'!Q225-'Raw data'!R225)*100/'Raw data'!Q225</f>
        <v>96.095617529880485</v>
      </c>
    </row>
    <row r="226" spans="1:6" ht="19.95" customHeight="1" x14ac:dyDescent="0.25">
      <c r="A226" s="32">
        <f>((('Raw data'!B226+'Raw data'!D226)/24)*('Raw data'!G226/1000))/'plant information'!$B$20</f>
        <v>2.2187067552860698</v>
      </c>
      <c r="B226" s="33">
        <f>'Raw data'!B226/'plant information'!$B$20</f>
        <v>14.543532338308458</v>
      </c>
      <c r="C226" s="33">
        <f>('plant information'!$B$22/('Raw data'!B226+'Raw data'!D226))*24</f>
        <v>4.0005286768307382</v>
      </c>
      <c r="D226" s="33">
        <f>('Raw data'!M226-'Raw data'!N226)*100/'Raw data'!M226</f>
        <v>92.021276595744681</v>
      </c>
      <c r="E226" s="51">
        <f>('Raw data'!O226-'Raw data'!P226)*100/'Raw data'!O226</f>
        <v>89.680589680589677</v>
      </c>
      <c r="F226" s="37">
        <f>('Raw data'!Q226-'Raw data'!R226)*100/'Raw data'!Q226</f>
        <v>95.78947368421052</v>
      </c>
    </row>
    <row r="227" spans="1:6" ht="19.95" customHeight="1" x14ac:dyDescent="0.25">
      <c r="A227" s="32">
        <f>((('Raw data'!B227+'Raw data'!D227)/24)*('Raw data'!G227/1000))/'plant information'!$B$20</f>
        <v>2.1906246035447765</v>
      </c>
      <c r="B227" s="33">
        <f>'Raw data'!B227/'plant information'!$B$20</f>
        <v>14.167910447761194</v>
      </c>
      <c r="C227" s="33">
        <f>('plant information'!$B$22/('Raw data'!B227+'Raw data'!D227))*24</f>
        <v>4.1065913280819784</v>
      </c>
      <c r="D227" s="33">
        <f>('Raw data'!M227-'Raw data'!N227)*100/'Raw data'!M227</f>
        <v>92.634408602150543</v>
      </c>
      <c r="E227" s="51">
        <f>('Raw data'!O227-'Raw data'!P227)*100/'Raw data'!O227</f>
        <v>90.66350710900474</v>
      </c>
      <c r="F227" s="37">
        <f>('Raw data'!Q227-'Raw data'!R227)*100/'Raw data'!Q227</f>
        <v>96.047430830039531</v>
      </c>
    </row>
    <row r="228" spans="1:6" ht="19.95" customHeight="1" x14ac:dyDescent="0.25">
      <c r="A228" s="32">
        <f>((('Raw data'!B228+'Raw data'!D228)/24)*('Raw data'!G228/1000))/'plant information'!$B$20</f>
        <v>2.2526804570895522</v>
      </c>
      <c r="B228" s="33">
        <f>'Raw data'!B228/'plant information'!$B$20</f>
        <v>14.634328358208956</v>
      </c>
      <c r="C228" s="33">
        <f>('plant information'!$B$22/('Raw data'!B228+'Raw data'!D228))*24</f>
        <v>3.9757081266515231</v>
      </c>
      <c r="D228" s="33">
        <f>('Raw data'!M228-'Raw data'!N228)*100/'Raw data'!M228</f>
        <v>90.91463414634147</v>
      </c>
      <c r="E228" s="51">
        <f>('Raw data'!O228-'Raw data'!P228)*100/'Raw data'!O228</f>
        <v>87.714987714987714</v>
      </c>
      <c r="F228" s="3">
        <f>('Raw data'!Q228-'Raw data'!R228)*100/'Raw data'!Q228</f>
        <v>95.564516129032256</v>
      </c>
    </row>
    <row r="229" spans="1:6" ht="19.95" customHeight="1" x14ac:dyDescent="0.25">
      <c r="A229" s="32">
        <f>((('Raw data'!B229+'Raw data'!D229)/24)*('Raw data'!G229/1000))/'plant information'!$B$20</f>
        <v>2.2844622823383078</v>
      </c>
      <c r="B229" s="33">
        <f>'Raw data'!B229/'plant information'!$B$20</f>
        <v>14.840796019900498</v>
      </c>
      <c r="C229" s="33">
        <f>('plant information'!$B$22/('Raw data'!B229+'Raw data'!D229))*24</f>
        <v>3.9203974034681375</v>
      </c>
      <c r="D229" s="33">
        <f>('Raw data'!M229-'Raw data'!N229)*100/'Raw data'!M229</f>
        <v>90.952380952380963</v>
      </c>
      <c r="E229" s="51">
        <f>('Raw data'!O229-'Raw data'!P229)*100/'Raw data'!O229</f>
        <v>88.571428571428569</v>
      </c>
      <c r="F229" s="37">
        <f>('Raw data'!Q229-'Raw data'!R229)*100/'Raw data'!Q229</f>
        <v>96.428571428571431</v>
      </c>
    </row>
    <row r="230" spans="1:6" ht="19.95" customHeight="1" x14ac:dyDescent="0.25">
      <c r="A230" s="32">
        <f>((('Raw data'!B230+'Raw data'!D230)/24)*('Raw data'!G230/1000))/'plant information'!$B$20</f>
        <v>2.2913383084577115</v>
      </c>
      <c r="B230" s="33">
        <f>'Raw data'!B230/'plant information'!$B$20</f>
        <v>14.82587064676617</v>
      </c>
      <c r="C230" s="33">
        <f>('plant information'!$B$22/('Raw data'!B230+'Raw data'!D230))*24</f>
        <v>3.9243441122635754</v>
      </c>
      <c r="D230" s="33">
        <f>('Raw data'!M230-'Raw data'!N230)*100/'Raw data'!M230</f>
        <v>92.058823529411768</v>
      </c>
      <c r="E230" s="51">
        <f>('Raw data'!O230-'Raw data'!P230)*100/'Raw data'!O230</f>
        <v>91.822429906542055</v>
      </c>
      <c r="F230" s="37">
        <f>('Raw data'!Q230-'Raw data'!R230)*100/'Raw data'!Q230</f>
        <v>95.934959349593498</v>
      </c>
    </row>
    <row r="231" spans="1:6" ht="19.95" customHeight="1" x14ac:dyDescent="0.25">
      <c r="A231" s="32">
        <f>((('Raw data'!B231+'Raw data'!D231)/24)*('Raw data'!G231/1000))/'plant information'!$B$20</f>
        <v>2.2834419776119401</v>
      </c>
      <c r="B231" s="33">
        <f>'Raw data'!B231/'plant information'!$B$20</f>
        <v>14.840796019900498</v>
      </c>
      <c r="C231" s="33">
        <f>('plant information'!$B$22/('Raw data'!B231+'Raw data'!D231))*24</f>
        <v>3.9203974034681375</v>
      </c>
      <c r="D231" s="33">
        <f>('Raw data'!M231-'Raw data'!N231)*100/'Raw data'!M231</f>
        <v>92.024539877300612</v>
      </c>
      <c r="E231" s="51">
        <f>('Raw data'!O231-'Raw data'!P231)*100/'Raw data'!O231</f>
        <v>92</v>
      </c>
      <c r="F231" s="37">
        <f>('Raw data'!Q231-'Raw data'!R231)*100/'Raw data'!Q231</f>
        <v>95.617529880478088</v>
      </c>
    </row>
    <row r="232" spans="1:6" ht="19.95" customHeight="1" x14ac:dyDescent="0.25">
      <c r="A232" s="32">
        <f>((('Raw data'!B232+'Raw data'!D232)/24)*('Raw data'!G232/1000))/'plant information'!$B$20</f>
        <v>2.4872634095149251</v>
      </c>
      <c r="B232" s="33">
        <f>'Raw data'!B232/'plant information'!$B$20</f>
        <v>16.100746268656717</v>
      </c>
      <c r="C232" s="33">
        <f>('plant information'!$B$22/('Raw data'!B232+'Raw data'!D232))*24</f>
        <v>3.6136100284420101</v>
      </c>
      <c r="D232" s="33">
        <f>('Raw data'!M232-'Raw data'!N232)*100/'Raw data'!M232</f>
        <v>92.21621621621621</v>
      </c>
      <c r="E232" s="51">
        <f>('Raw data'!O232-'Raw data'!P232)*100/'Raw data'!O232</f>
        <v>88.333333333333329</v>
      </c>
      <c r="F232" s="37">
        <f>('Raw data'!Q232-'Raw data'!R232)*100/'Raw data'!Q232</f>
        <v>96.385542168674704</v>
      </c>
    </row>
    <row r="233" spans="1:6" ht="19.95" customHeight="1" x14ac:dyDescent="0.25">
      <c r="A233" s="32">
        <f>((('Raw data'!B233+'Raw data'!D233)/24)*('Raw data'!G233/1000))/'plant information'!$B$20</f>
        <v>2.416708550995025</v>
      </c>
      <c r="B233" s="33">
        <f>'Raw data'!B233/'plant information'!$B$20</f>
        <v>15.756218905472636</v>
      </c>
      <c r="C233" s="33">
        <f>('plant information'!$B$22/('Raw data'!B233+'Raw data'!D233))*24</f>
        <v>3.6926256566294455</v>
      </c>
      <c r="D233" s="33">
        <f>('Raw data'!M233-'Raw data'!N233)*100/'Raw data'!M233</f>
        <v>93.092783505154642</v>
      </c>
      <c r="E233" s="51">
        <f>('Raw data'!O233-'Raw data'!P233)*100/'Raw data'!O233</f>
        <v>91</v>
      </c>
      <c r="F233" s="37">
        <f>('Raw data'!Q233-'Raw data'!R233)*100/'Raw data'!Q233</f>
        <v>96.653543307086608</v>
      </c>
    </row>
    <row r="234" spans="1:6" ht="19.95" customHeight="1" x14ac:dyDescent="0.25">
      <c r="A234" s="32">
        <f>((('Raw data'!B234+'Raw data'!D234)/24)*('Raw data'!G234/1000))/'plant information'!$B$20</f>
        <v>2.421297014925373</v>
      </c>
      <c r="B234" s="33">
        <f>'Raw data'!B234/'plant information'!$B$20</f>
        <v>15.835820895522389</v>
      </c>
      <c r="C234" s="33">
        <f>('plant information'!$B$22/('Raw data'!B234+'Raw data'!D234))*24</f>
        <v>3.6740639191157571</v>
      </c>
      <c r="D234" s="33">
        <f>('Raw data'!M234-'Raw data'!N234)*100/'Raw data'!M234</f>
        <v>91.42011834319527</v>
      </c>
      <c r="E234" s="51">
        <f>('Raw data'!O234-'Raw data'!P234)*100/'Raw data'!O234</f>
        <v>87.941176470588232</v>
      </c>
      <c r="F234" s="37">
        <f>('Raw data'!Q234-'Raw data'!R234)*100/'Raw data'!Q234</f>
        <v>96.396761133603235</v>
      </c>
    </row>
    <row r="235" spans="1:6" ht="19.95" customHeight="1" x14ac:dyDescent="0.25">
      <c r="A235" s="32">
        <f>((('Raw data'!B235+'Raw data'!D235)/24)*('Raw data'!G235/1000))/'plant information'!$B$20</f>
        <v>2.4755787313432833</v>
      </c>
      <c r="B235" s="33">
        <f>'Raw data'!B235/'plant information'!$B$20</f>
        <v>16.089552238805972</v>
      </c>
      <c r="C235" s="33">
        <f>('plant information'!$B$22/('Raw data'!B235+'Raw data'!D235))*24</f>
        <v>3.6161241356046547</v>
      </c>
      <c r="D235" s="33">
        <f>('Raw data'!M235-'Raw data'!N235)*100/'Raw data'!M235</f>
        <v>91.907514450867055</v>
      </c>
      <c r="E235" s="51">
        <f>('Raw data'!O235-'Raw data'!P235)*100/'Raw data'!O235</f>
        <v>91.208791208791212</v>
      </c>
      <c r="F235" s="3">
        <f>('Raw data'!Q235-'Raw data'!R235)*100/'Raw data'!Q235</f>
        <v>94.8</v>
      </c>
    </row>
    <row r="236" spans="1:6" ht="19.95" customHeight="1" x14ac:dyDescent="0.25">
      <c r="A236" s="32">
        <f>((('Raw data'!B236+'Raw data'!D236)/24)*('Raw data'!G236/1000))/'plant information'!$B$20</f>
        <v>2.4541146222014922</v>
      </c>
      <c r="B236" s="33">
        <f>'Raw data'!B236/'plant information'!$B$20</f>
        <v>16.115671641791046</v>
      </c>
      <c r="C236" s="33">
        <f>('plant information'!$B$22/('Raw data'!B236+'Raw data'!D236))*24</f>
        <v>3.6102633185291206</v>
      </c>
      <c r="D236" s="33">
        <f>('Raw data'!M236-'Raw data'!N236)*100/'Raw data'!M236</f>
        <v>93.265306122448976</v>
      </c>
      <c r="E236" s="51">
        <f>('Raw data'!O236-'Raw data'!P236)*100/'Raw data'!O236</f>
        <v>90.540540540540547</v>
      </c>
      <c r="F236" s="37">
        <f>('Raw data'!Q236-'Raw data'!R236)*100/'Raw data'!Q236</f>
        <v>96.442687747035578</v>
      </c>
    </row>
    <row r="237" spans="1:6" ht="19.95" customHeight="1" x14ac:dyDescent="0.25">
      <c r="A237" s="32">
        <f>((('Raw data'!B237+'Raw data'!D237)/24)*('Raw data'!G237/1000))/'plant information'!$B$20</f>
        <v>2.4964381996268656</v>
      </c>
      <c r="B237" s="33">
        <f>'Raw data'!B237/'plant information'!$B$20</f>
        <v>16.225124378109452</v>
      </c>
      <c r="C237" s="33">
        <f>('plant information'!$B$22/('Raw data'!B237+'Raw data'!D237))*24</f>
        <v>3.5859089166869929</v>
      </c>
      <c r="D237" s="33">
        <f>('Raw data'!M237-'Raw data'!N237)*100/'Raw data'!M237</f>
        <v>92.842215256008359</v>
      </c>
      <c r="E237" s="51">
        <f>('Raw data'!O237-'Raw data'!P237)*100/'Raw data'!O237</f>
        <v>90.21621621621621</v>
      </c>
      <c r="F237" s="37">
        <f>('Raw data'!Q237-'Raw data'!R237)*100/'Raw data'!Q237</f>
        <v>96.326530612244895</v>
      </c>
    </row>
    <row r="238" spans="1:6" ht="19.95" customHeight="1" x14ac:dyDescent="0.25">
      <c r="A238" s="32">
        <f>((('Raw data'!B238+'Raw data'!D238)/24)*('Raw data'!G238/1000))/'plant information'!$B$20</f>
        <v>2.462978241604477</v>
      </c>
      <c r="B238" s="33">
        <f>'Raw data'!B238/'plant information'!$B$20</f>
        <v>16.115671641791046</v>
      </c>
      <c r="C238" s="33">
        <f>('plant information'!$B$22/('Raw data'!B238+'Raw data'!D238))*24</f>
        <v>3.6102633185291206</v>
      </c>
      <c r="D238" s="33">
        <f>('Raw data'!M238-'Raw data'!N238)*100/'Raw data'!M238</f>
        <v>92.673796791443849</v>
      </c>
      <c r="E238" s="51">
        <f>('Raw data'!O238-'Raw data'!P238)*100/'Raw data'!O238</f>
        <v>89.666666666666671</v>
      </c>
      <c r="F238" s="37">
        <f>('Raw data'!Q238-'Raw data'!R238)*100/'Raw data'!Q238</f>
        <v>95.73705179282868</v>
      </c>
    </row>
    <row r="239" spans="1:6" ht="19.95" customHeight="1" x14ac:dyDescent="0.25">
      <c r="A239" s="32">
        <f>((('Raw data'!B239+'Raw data'!D239)/24)*('Raw data'!G239/1000))/'plant information'!$B$20</f>
        <v>2.409745024875622</v>
      </c>
      <c r="B239" s="33">
        <f>'Raw data'!B239/'plant information'!$B$20</f>
        <v>16.100746268656717</v>
      </c>
      <c r="C239" s="33">
        <f>('plant information'!$B$22/('Raw data'!B239+'Raw data'!D239))*24</f>
        <v>3.7265353418308225</v>
      </c>
      <c r="D239" s="33">
        <f>('Raw data'!M239-'Raw data'!N239)*100/'Raw data'!M239</f>
        <v>94.629629629629648</v>
      </c>
      <c r="E239" s="51">
        <f>('Raw data'!O239-'Raw data'!P239)*100/'Raw data'!O239</f>
        <v>92.631578947368425</v>
      </c>
      <c r="F239" s="37">
        <f>('Raw data'!Q239-'Raw data'!R239)*100/'Raw data'!Q239</f>
        <v>97.58064516129032</v>
      </c>
    </row>
    <row r="240" spans="1:6" ht="19.95" customHeight="1" x14ac:dyDescent="0.25">
      <c r="A240" s="32">
        <f>((('Raw data'!B240+'Raw data'!D240)/24)*('Raw data'!G240/1000))/'plant information'!$B$20</f>
        <v>2.3691888059701491</v>
      </c>
      <c r="B240" s="33">
        <f>'Raw data'!B240/'plant information'!$B$20</f>
        <v>15.92910447761194</v>
      </c>
      <c r="C240" s="33">
        <f>('plant information'!$B$22/('Raw data'!B240+'Raw data'!D240))*24</f>
        <v>3.7666900913562893</v>
      </c>
      <c r="D240" s="33">
        <f>('Raw data'!M240-'Raw data'!N240)*100/'Raw data'!M240</f>
        <v>95.2</v>
      </c>
      <c r="E240" s="51">
        <f>('Raw data'!O240-'Raw data'!P240)*100/'Raw data'!O240</f>
        <v>94.981132075471692</v>
      </c>
      <c r="F240" s="37">
        <f>('Raw data'!Q240-'Raw data'!R240)*100/'Raw data'!Q240</f>
        <v>96.825396825396822</v>
      </c>
    </row>
    <row r="241" spans="1:6" ht="19.95" customHeight="1" x14ac:dyDescent="0.25">
      <c r="A241" s="32">
        <f>((('Raw data'!B241+'Raw data'!D241)/24)*('Raw data'!G241/1000))/'plant information'!$B$20</f>
        <v>2.374845190713101</v>
      </c>
      <c r="B241" s="33">
        <f>'Raw data'!B241/'plant information'!$B$20</f>
        <v>16.053482587064675</v>
      </c>
      <c r="C241" s="33">
        <f>('plant information'!$B$22/('Raw data'!B241+'Raw data'!D241))*24</f>
        <v>3.7375067792670644</v>
      </c>
      <c r="D241" s="33">
        <f>('Raw data'!M241-'Raw data'!N241)*100/'Raw data'!M241</f>
        <v>91.024096385542165</v>
      </c>
      <c r="E241" s="51">
        <f>('Raw data'!O241-'Raw data'!P241)*100/'Raw data'!O241</f>
        <v>90.909090909090907</v>
      </c>
      <c r="F241" s="37">
        <f>('Raw data'!Q241-'Raw data'!R241)*100/'Raw data'!Q241</f>
        <v>94.715447154471548</v>
      </c>
    </row>
    <row r="242" spans="1:6" ht="19.95" customHeight="1" x14ac:dyDescent="0.25">
      <c r="A242" s="32">
        <f>((('Raw data'!B242+'Raw data'!D242)/24)*('Raw data'!G242/1000))/'plant information'!$B$20</f>
        <v>2.4615339966832503</v>
      </c>
      <c r="B242" s="33">
        <f>'Raw data'!B242/'plant information'!$B$20</f>
        <v>16.053482587064675</v>
      </c>
      <c r="C242" s="33">
        <f>('plant information'!$B$22/('Raw data'!B242+'Raw data'!D242))*24</f>
        <v>3.7375067792670644</v>
      </c>
      <c r="D242" s="33">
        <f>('Raw data'!M242-'Raw data'!N242)*100/'Raw data'!M242</f>
        <v>91.695906432748544</v>
      </c>
      <c r="E242" s="51">
        <f>('Raw data'!O242-'Raw data'!P242)*100/'Raw data'!O242</f>
        <v>88.803680981595093</v>
      </c>
      <c r="F242" s="37">
        <f>('Raw data'!Q242-'Raw data'!R242)*100/'Raw data'!Q242</f>
        <v>96.456692913385822</v>
      </c>
    </row>
    <row r="243" spans="1:6" ht="19.95" customHeight="1" x14ac:dyDescent="0.25">
      <c r="A243" s="32">
        <f>((('Raw data'!B243+'Raw data'!D243)/24)*('Raw data'!G243/1000))/'plant information'!$B$20</f>
        <v>2.4017983416252071</v>
      </c>
      <c r="B243" s="33">
        <f>'Raw data'!B243/'plant information'!$B$20</f>
        <v>15.773631840796019</v>
      </c>
      <c r="C243" s="33">
        <f>('plant information'!$B$22/('Raw data'!B243+'Raw data'!D243))*24</f>
        <v>3.8038164327393154</v>
      </c>
      <c r="D243" s="33">
        <f>('Raw data'!M243-'Raw data'!N243)*100/'Raw data'!M243</f>
        <v>91.875</v>
      </c>
      <c r="E243" s="51">
        <f>('Raw data'!O243-'Raw data'!P243)*100/'Raw data'!O243</f>
        <v>90.20930232558139</v>
      </c>
      <c r="F243" s="3">
        <f>('Raw data'!Q243-'Raw data'!R243)*100/'Raw data'!Q243</f>
        <v>96</v>
      </c>
    </row>
    <row r="244" spans="1:6" ht="19.95" customHeight="1" x14ac:dyDescent="0.25">
      <c r="A244" s="32">
        <f>((('Raw data'!B244+'Raw data'!D244)/24)*('Raw data'!G244/1000))/'plant information'!$B$20</f>
        <v>2.4957402985074624</v>
      </c>
      <c r="B244" s="33">
        <f>'Raw data'!B244/'plant information'!$B$20</f>
        <v>16.220149253731343</v>
      </c>
      <c r="C244" s="33">
        <f>('plant information'!$B$22/('Raw data'!B244+'Raw data'!D244))*24</f>
        <v>3.6991028295376127</v>
      </c>
      <c r="D244" s="33">
        <f>('Raw data'!M244-'Raw data'!N244)*100/'Raw data'!M244</f>
        <v>92.592592592592595</v>
      </c>
      <c r="E244" s="51">
        <f>('Raw data'!O244-'Raw data'!P244)*100/'Raw data'!O244</f>
        <v>87.593984962406012</v>
      </c>
      <c r="F244" s="37">
        <f>('Raw data'!Q244-'Raw data'!R244)*100/'Raw data'!Q244</f>
        <v>95.87044534412955</v>
      </c>
    </row>
    <row r="245" spans="1:6" ht="19.95" customHeight="1" x14ac:dyDescent="0.25">
      <c r="A245" s="32">
        <f>((('Raw data'!B245+'Raw data'!D245)/24)*('Raw data'!G245/1000))/'plant information'!$B$20</f>
        <v>2.4144064676616912</v>
      </c>
      <c r="B245" s="33">
        <f>'Raw data'!B245/'plant information'!$B$20</f>
        <v>15.787313432835822</v>
      </c>
      <c r="C245" s="33">
        <f>('plant information'!$B$22/('Raw data'!B245+'Raw data'!D245))*24</f>
        <v>3.8005199716379106</v>
      </c>
      <c r="D245" s="33">
        <f>('Raw data'!M245-'Raw data'!N245)*100/'Raw data'!M245</f>
        <v>92.405063291139243</v>
      </c>
      <c r="E245" s="51">
        <f>('Raw data'!O245-'Raw data'!P245)*100/'Raw data'!O245</f>
        <v>90.656250000000014</v>
      </c>
      <c r="F245" s="37">
        <f>('Raw data'!Q245-'Raw data'!R245)*100/'Raw data'!Q245</f>
        <v>96.442687747035578</v>
      </c>
    </row>
    <row r="246" spans="1:6" ht="19.95" customHeight="1" x14ac:dyDescent="0.25">
      <c r="A246" s="32">
        <f>((('Raw data'!B246+'Raw data'!D246)/24)*('Raw data'!G246/1000))/'plant information'!$B$20</f>
        <v>2.4196751243781098</v>
      </c>
      <c r="B246" s="33">
        <f>'Raw data'!B246/'plant information'!$B$20</f>
        <v>15.773631840796019</v>
      </c>
      <c r="C246" s="33">
        <f>('plant information'!$B$22/('Raw data'!B246+'Raw data'!D246))*24</f>
        <v>3.8038164327393154</v>
      </c>
      <c r="D246" s="33">
        <f>('Raw data'!M246-'Raw data'!N246)*100/'Raw data'!M246</f>
        <v>93.442622950819668</v>
      </c>
      <c r="E246" s="51">
        <f>('Raw data'!O246-'Raw data'!P246)*100/'Raw data'!O246</f>
        <v>85.733333333333334</v>
      </c>
      <c r="F246" s="37">
        <f>('Raw data'!Q246-'Raw data'!R246)*100/'Raw data'!Q246</f>
        <v>96.215139442231077</v>
      </c>
    </row>
    <row r="247" spans="1:6" ht="19.95" customHeight="1" x14ac:dyDescent="0.25">
      <c r="A247" s="32">
        <f>((('Raw data'!B247+'Raw data'!D247)/24)*('Raw data'!G247/1000))/'plant information'!$B$20</f>
        <v>2.4656977611940301</v>
      </c>
      <c r="B247" s="33">
        <f>'Raw data'!B247/'plant information'!$B$20</f>
        <v>16.115671641791046</v>
      </c>
      <c r="C247" s="33">
        <f>('plant information'!$B$22/('Raw data'!B247+'Raw data'!D247))*24</f>
        <v>3.7230840472331552</v>
      </c>
      <c r="D247" s="33">
        <f>('Raw data'!M247-'Raw data'!N247)*100/'Raw data'!M247</f>
        <v>91.910828025477713</v>
      </c>
      <c r="E247" s="51">
        <f>('Raw data'!O247-'Raw data'!P247)*100/'Raw data'!O247</f>
        <v>93.191489361702125</v>
      </c>
      <c r="F247" s="37">
        <f>('Raw data'!Q247-'Raw data'!R247)*100/'Raw data'!Q247</f>
        <v>96.25</v>
      </c>
    </row>
    <row r="248" spans="1:6" ht="19.95" customHeight="1" x14ac:dyDescent="0.25">
      <c r="A248" s="32">
        <f>((('Raw data'!B248+'Raw data'!D248)/24)*('Raw data'!G248/1000))/'plant information'!$B$20</f>
        <v>2.496505804311774</v>
      </c>
      <c r="B248" s="33">
        <f>'Raw data'!B248/'plant information'!$B$20</f>
        <v>16.225124378109452</v>
      </c>
      <c r="C248" s="33">
        <f>('plant information'!$B$22/('Raw data'!B248+'Raw data'!D248))*24</f>
        <v>3.6979685703334608</v>
      </c>
      <c r="D248" s="33">
        <f>('Raw data'!M248-'Raw data'!N248)*100/'Raw data'!M248</f>
        <v>93.75</v>
      </c>
      <c r="E248" s="51">
        <f>('Raw data'!O248-'Raw data'!P248)*100/'Raw data'!O248</f>
        <v>93.86363636363636</v>
      </c>
      <c r="F248" s="37">
        <f>('Raw data'!Q248-'Raw data'!R248)*100/'Raw data'!Q248</f>
        <v>96.547619047619051</v>
      </c>
    </row>
    <row r="249" spans="1:6" ht="19.95" customHeight="1" x14ac:dyDescent="0.25">
      <c r="A249" s="32">
        <f>((('Raw data'!B249+'Raw data'!D249)/24)*('Raw data'!G249/1000))/'plant information'!$B$20</f>
        <v>2.4431358208955225</v>
      </c>
      <c r="B249" s="33">
        <f>'Raw data'!B249/'plant information'!$B$20</f>
        <v>16.115671641791046</v>
      </c>
      <c r="C249" s="33">
        <f>('plant information'!$B$22/('Raw data'!B249+'Raw data'!D249))*24</f>
        <v>3.7230840472331552</v>
      </c>
      <c r="D249" s="33">
        <f>('Raw data'!M249-'Raw data'!N249)*100/'Raw data'!M249</f>
        <v>92.738095238095255</v>
      </c>
      <c r="E249" s="51">
        <f>('Raw data'!O249-'Raw data'!P249)*100/'Raw data'!O249</f>
        <v>90</v>
      </c>
      <c r="F249" s="37">
        <f>('Raw data'!Q249-'Raw data'!R249)*100/'Raw data'!Q249</f>
        <v>96.341463414634148</v>
      </c>
    </row>
    <row r="250" spans="1:6" ht="19.95" customHeight="1" x14ac:dyDescent="0.25">
      <c r="A250" s="32">
        <f>((('Raw data'!B250+'Raw data'!D250)/24)*('Raw data'!G250/1000))/'plant information'!$B$20</f>
        <v>2.4454805140961859</v>
      </c>
      <c r="B250" s="33">
        <f>'Raw data'!B250/'plant information'!$B$20</f>
        <v>16.053482587064675</v>
      </c>
      <c r="C250" s="33">
        <f>('plant information'!$B$22/('Raw data'!B250+'Raw data'!D250))*24</f>
        <v>3.7375067792670644</v>
      </c>
      <c r="D250" s="33">
        <f>('Raw data'!M250-'Raw data'!N250)*100/'Raw data'!M250</f>
        <v>91.963190184049083</v>
      </c>
      <c r="E250" s="51">
        <f>('Raw data'!O250-'Raw data'!P250)*100/'Raw data'!O250</f>
        <v>94.186046511627907</v>
      </c>
      <c r="F250" s="3">
        <f>('Raw data'!Q250-'Raw data'!R250)*100/'Raw data'!Q250</f>
        <v>96.44</v>
      </c>
    </row>
    <row r="251" spans="1:6" ht="19.95" customHeight="1" x14ac:dyDescent="0.25">
      <c r="A251" s="32">
        <f>((('Raw data'!B251+'Raw data'!D251)/24)*('Raw data'!G251/1000))/'plant information'!$B$20</f>
        <v>2.4663018242122718</v>
      </c>
      <c r="B251" s="33">
        <f>'Raw data'!B251/'plant information'!$B$20</f>
        <v>16.084577114427862</v>
      </c>
      <c r="C251" s="33">
        <f>('plant information'!$B$22/('Raw data'!B251+'Raw data'!D251))*24</f>
        <v>3.730281472316733</v>
      </c>
      <c r="D251" s="33">
        <f>('Raw data'!M251-'Raw data'!N251)*100/'Raw data'!M251</f>
        <v>93.812154696132595</v>
      </c>
      <c r="E251" s="51">
        <f>('Raw data'!O251-'Raw data'!P251)*100/'Raw data'!O251</f>
        <v>91.090909090909108</v>
      </c>
      <c r="F251" s="37">
        <f>('Raw data'!Q251-'Raw data'!R251)*100/'Raw data'!Q251</f>
        <v>96.259842519685037</v>
      </c>
    </row>
    <row r="252" spans="1:6" ht="19.95" customHeight="1" x14ac:dyDescent="0.25">
      <c r="A252" s="32">
        <f>((('Raw data'!B252+'Raw data'!D252)/24)*('Raw data'!G252/1000))/'plant information'!$B$20</f>
        <v>2.459120646766169</v>
      </c>
      <c r="B252" s="33">
        <f>'Raw data'!B252/'plant information'!$B$20</f>
        <v>16.100746268656717</v>
      </c>
      <c r="C252" s="33">
        <f>('plant information'!$B$22/('Raw data'!B252+'Raw data'!D252))*24</f>
        <v>3.7265353418308225</v>
      </c>
      <c r="D252" s="33">
        <f>('Raw data'!M252-'Raw data'!N252)*100/'Raw data'!M252</f>
        <v>90.649350649350652</v>
      </c>
      <c r="E252" s="51">
        <f>('Raw data'!O252-'Raw data'!P252)*100/'Raw data'!O252</f>
        <v>88.181818181818187</v>
      </c>
      <c r="F252" s="37">
        <f>('Raw data'!Q252-'Raw data'!R252)*100/'Raw data'!Q252</f>
        <v>95.742971887550198</v>
      </c>
    </row>
    <row r="253" spans="1:6" ht="19.95" customHeight="1" x14ac:dyDescent="0.25">
      <c r="A253" s="32">
        <f>((('Raw data'!B253+'Raw data'!D253)/24)*('Raw data'!G253/1000))/'plant information'!$B$20</f>
        <v>2.4201619402985077</v>
      </c>
      <c r="B253" s="33">
        <f>'Raw data'!B253/'plant information'!$B$20</f>
        <v>15.92910447761194</v>
      </c>
      <c r="C253" s="33">
        <f>('plant information'!$B$22/('Raw data'!B253+'Raw data'!D253))*24</f>
        <v>3.7666900913562893</v>
      </c>
      <c r="D253" s="33">
        <f>('Raw data'!M253-'Raw data'!N253)*100/'Raw data'!M253</f>
        <v>92.42236024844722</v>
      </c>
      <c r="E253" s="51">
        <f>('Raw data'!O253-'Raw data'!P253)*100/'Raw data'!O253</f>
        <v>90.054054054054049</v>
      </c>
      <c r="F253" s="37">
        <f>('Raw data'!Q253-'Raw data'!R253)*100/'Raw data'!Q253</f>
        <v>96.374501992031867</v>
      </c>
    </row>
    <row r="254" spans="1:6" ht="19.95" customHeight="1" x14ac:dyDescent="0.25">
      <c r="A254" s="32">
        <f>((('Raw data'!B254+'Raw data'!D254)/24)*('Raw data'!G254/1000))/'plant information'!$B$20</f>
        <v>2.4604637645107794</v>
      </c>
      <c r="B254" s="33">
        <f>'Raw data'!B254/'plant information'!$B$20</f>
        <v>16.053482587064675</v>
      </c>
      <c r="C254" s="33">
        <f>('plant information'!$B$22/('Raw data'!B254+'Raw data'!D254))*24</f>
        <v>3.7375067792670644</v>
      </c>
      <c r="D254" s="33">
        <f>('Raw data'!M254-'Raw data'!N254)*100/'Raw data'!M254</f>
        <v>91.726190476190482</v>
      </c>
      <c r="E254" s="51">
        <f>('Raw data'!O254-'Raw data'!P254)*100/'Raw data'!O254</f>
        <v>90</v>
      </c>
      <c r="F254" s="37">
        <f>('Raw data'!Q254-'Raw data'!R254)*100/'Raw data'!Q254</f>
        <v>96.639676113360323</v>
      </c>
    </row>
    <row r="255" spans="1:6" ht="19.95" customHeight="1" x14ac:dyDescent="0.25">
      <c r="A255" s="32">
        <f>((('Raw data'!B255+'Raw data'!D255)/24)*('Raw data'!G255/1000))/'plant information'!$B$20</f>
        <v>2.4540423714759538</v>
      </c>
      <c r="B255" s="33">
        <f>'Raw data'!B255/'plant information'!$B$20</f>
        <v>16.053482587064675</v>
      </c>
      <c r="C255" s="33">
        <f>('plant information'!$B$22/('Raw data'!B255+'Raw data'!D255))*24</f>
        <v>3.7375067792670644</v>
      </c>
      <c r="D255" s="33">
        <f>('Raw data'!M255-'Raw data'!N255)*100/'Raw data'!M255</f>
        <v>92.235294117647072</v>
      </c>
      <c r="E255" s="51">
        <f>('Raw data'!O255-'Raw data'!P255)*100/'Raw data'!O255</f>
        <v>89.696969696969703</v>
      </c>
      <c r="F255" s="37">
        <f>('Raw data'!Q255-'Raw data'!R255)*100/'Raw data'!Q255</f>
        <v>96.837944664031625</v>
      </c>
    </row>
    <row r="256" spans="1:6" ht="19.95" customHeight="1" x14ac:dyDescent="0.25">
      <c r="A256" s="32">
        <f>((('Raw data'!B256+'Raw data'!D256)/24)*('Raw data'!G256/1000))/'plant information'!$B$20</f>
        <v>2.4411995854063018</v>
      </c>
      <c r="B256" s="33">
        <f>'Raw data'!B256/'plant information'!$B$20</f>
        <v>16.053482587064675</v>
      </c>
      <c r="C256" s="33">
        <f>('plant information'!$B$22/('Raw data'!B256+'Raw data'!D256))*24</f>
        <v>3.7375067792670644</v>
      </c>
      <c r="D256" s="33">
        <f>('Raw data'!M256-'Raw data'!N256)*100/'Raw data'!M256</f>
        <v>90.196078431372555</v>
      </c>
      <c r="E256" s="51">
        <f>('Raw data'!O256-'Raw data'!P256)*100/'Raw data'!O256</f>
        <v>88.147058823529406</v>
      </c>
      <c r="F256" s="37">
        <f>('Raw data'!Q256-'Raw data'!R256)*100/'Raw data'!Q256</f>
        <v>95.967741935483872</v>
      </c>
    </row>
    <row r="257" spans="1:6" ht="19.95" customHeight="1" x14ac:dyDescent="0.25">
      <c r="A257" s="32">
        <f>((('Raw data'!B257+'Raw data'!D257)/24)*('Raw data'!G257/1000))/'plant information'!$B$20</f>
        <v>2.4000222222222218</v>
      </c>
      <c r="B257" s="33">
        <f>'Raw data'!B257/'plant information'!$B$20</f>
        <v>15.803482587064677</v>
      </c>
      <c r="C257" s="33">
        <f>('plant information'!$B$22/('Raw data'!B257+'Raw data'!D257))*24</f>
        <v>3.7966315126711794</v>
      </c>
      <c r="D257" s="33">
        <f>('Raw data'!M257-'Raw data'!N257)*100/'Raw data'!M257</f>
        <v>92.722222222222229</v>
      </c>
      <c r="E257" s="51">
        <f>('Raw data'!O257-'Raw data'!P257)*100/'Raw data'!O257</f>
        <v>89.13513513513513</v>
      </c>
      <c r="F257" s="37">
        <f>('Raw data'!Q257-'Raw data'!R257)*100/'Raw data'!Q257</f>
        <v>96.428571428571431</v>
      </c>
    </row>
    <row r="258" spans="1:6" ht="19.95" customHeight="1" x14ac:dyDescent="0.25">
      <c r="A258" s="32">
        <f>((('Raw data'!B258+'Raw data'!D258)/24)*('Raw data'!G258/1000))/'plant information'!$B$20</f>
        <v>2.4463611940298509</v>
      </c>
      <c r="B258" s="33">
        <f>'Raw data'!B258/'plant information'!$B$20</f>
        <v>16.052238805970148</v>
      </c>
      <c r="C258" s="33">
        <f>('plant information'!$B$22/('Raw data'!B258+'Raw data'!D258))*24</f>
        <v>3.7377963737796374</v>
      </c>
      <c r="D258" s="33">
        <f>('Raw data'!M258-'Raw data'!N258)*100/'Raw data'!M258</f>
        <v>91.486486486486484</v>
      </c>
      <c r="E258" s="51">
        <f>('Raw data'!O258-'Raw data'!P258)*100/'Raw data'!O258</f>
        <v>90.256410256410263</v>
      </c>
      <c r="F258" s="37">
        <f>('Raw data'!Q258-'Raw data'!R258)*100/'Raw data'!Q258</f>
        <v>95.934959349593498</v>
      </c>
    </row>
    <row r="259" spans="1:6" ht="19.95" customHeight="1" x14ac:dyDescent="0.25">
      <c r="A259" s="32">
        <f>((('Raw data'!B259+'Raw data'!D259)/24)*('Raw data'!G259/1000))/'plant information'!$B$20</f>
        <v>2.4634835820895522</v>
      </c>
      <c r="B259" s="33">
        <f>'Raw data'!B259/'plant information'!$B$20</f>
        <v>16.052238805970148</v>
      </c>
      <c r="C259" s="33">
        <f>('plant information'!$B$22/('Raw data'!B259+'Raw data'!D259))*24</f>
        <v>3.7377963737796374</v>
      </c>
      <c r="D259" s="33">
        <f>('Raw data'!M259-'Raw data'!N259)*100/'Raw data'!M259</f>
        <v>92.662721893491124</v>
      </c>
      <c r="E259" s="51">
        <f>('Raw data'!O259-'Raw data'!P259)*100/'Raw data'!O259</f>
        <v>89.393939393939391</v>
      </c>
      <c r="F259" s="37">
        <f>('Raw data'!Q259-'Raw data'!R259)*100/'Raw data'!Q259</f>
        <v>93</v>
      </c>
    </row>
    <row r="260" spans="1:6" ht="19.95" customHeight="1" x14ac:dyDescent="0.25">
      <c r="A260" s="32">
        <f>((('Raw data'!B260+'Raw data'!D260)/24)*('Raw data'!G260/1000))/'plant information'!$B$20</f>
        <v>2.4626042288557217</v>
      </c>
      <c r="B260" s="33">
        <f>'Raw data'!B260/'plant information'!$B$20</f>
        <v>16.053482587064675</v>
      </c>
      <c r="C260" s="33">
        <f>('plant information'!$B$22/('Raw data'!B260+'Raw data'!D260))*24</f>
        <v>3.7375067792670644</v>
      </c>
      <c r="D260" s="33">
        <f>('Raw data'!M260-'Raw data'!N260)*100/'Raw data'!M260</f>
        <v>92.241379310344826</v>
      </c>
      <c r="E260" s="51">
        <f>('Raw data'!O260-'Raw data'!P260)*100/'Raw data'!O260</f>
        <v>88.82352941176471</v>
      </c>
      <c r="F260" s="37">
        <f>('Raw data'!Q260-'Raw data'!R260)*100/'Raw data'!Q260</f>
        <v>95.983935742971894</v>
      </c>
    </row>
    <row r="261" spans="1:6" ht="19.95" customHeight="1" x14ac:dyDescent="0.25">
      <c r="A261" s="32">
        <f>((('Raw data'!B261+'Raw data'!D261)/24)*('Raw data'!G261/1000))/'plant information'!$B$20</f>
        <v>2.5511617910447759</v>
      </c>
      <c r="B261" s="33">
        <f>'Raw data'!B261/'plant information'!$B$20</f>
        <v>15.912935323383085</v>
      </c>
      <c r="C261" s="33">
        <f>('plant information'!$B$22/('Raw data'!B261+'Raw data'!D261))*24</f>
        <v>3.6124717892649905</v>
      </c>
      <c r="D261" s="33">
        <f>('Raw data'!M261-'Raw data'!N261)*100/'Raw data'!M261</f>
        <v>93.274853801169584</v>
      </c>
      <c r="E261" s="51">
        <f>('Raw data'!O261-'Raw data'!P261)*100/'Raw data'!O261</f>
        <v>92.674999999999997</v>
      </c>
      <c r="F261" s="37">
        <f>('Raw data'!Q261-'Raw data'!R261)*100/'Raw data'!Q261</f>
        <v>96.456692913385822</v>
      </c>
    </row>
    <row r="262" spans="1:6" ht="19.95" customHeight="1" x14ac:dyDescent="0.25">
      <c r="A262" s="32">
        <f>((('Raw data'!B262+'Raw data'!D262)/24)*('Raw data'!G262/1000))/'plant information'!$B$20</f>
        <v>2.5360196268656714</v>
      </c>
      <c r="B262" s="33">
        <f>'Raw data'!B262/'plant information'!$B$20</f>
        <v>15.92910447761194</v>
      </c>
      <c r="C262" s="33">
        <f>('plant information'!$B$22/('Raw data'!B262+'Raw data'!D262))*24</f>
        <v>3.6088048779461452</v>
      </c>
      <c r="D262" s="33">
        <f>('Raw data'!M262-'Raw data'!N262)*100/'Raw data'!M262</f>
        <v>91.867469879518069</v>
      </c>
      <c r="E262" s="51">
        <f>('Raw data'!O262-'Raw data'!P262)*100/'Raw data'!O262</f>
        <v>91.395348837209298</v>
      </c>
      <c r="F262" s="37">
        <f>('Raw data'!Q262-'Raw data'!R262)*100/'Raw data'!Q262</f>
        <v>95.708502024291505</v>
      </c>
    </row>
    <row r="263" spans="1:6" ht="19.95" customHeight="1" x14ac:dyDescent="0.25">
      <c r="A263" s="32">
        <f>((('Raw data'!B263+'Raw data'!D263)/24)*('Raw data'!G263/1000))/'plant information'!$B$20</f>
        <v>2.5999215329601997</v>
      </c>
      <c r="B263" s="33">
        <f>'Raw data'!B263/'plant information'!$B$20</f>
        <v>16.380597014925375</v>
      </c>
      <c r="C263" s="33">
        <f>('plant information'!$B$22/('Raw data'!B263+'Raw data'!D263))*24</f>
        <v>3.509336679715739</v>
      </c>
      <c r="D263" s="33">
        <f>('Raw data'!M263-'Raw data'!N263)*100/'Raw data'!M263</f>
        <v>91.219512195121951</v>
      </c>
      <c r="E263" s="51">
        <f>('Raw data'!O263-'Raw data'!P263)*100/'Raw data'!O263</f>
        <v>90.714285714285708</v>
      </c>
      <c r="F263" s="3">
        <f>('Raw data'!Q263-'Raw data'!R263)*100/'Raw data'!Q263</f>
        <v>95.6</v>
      </c>
    </row>
    <row r="264" spans="1:6" ht="19.95" customHeight="1" x14ac:dyDescent="0.25">
      <c r="A264" s="32">
        <f>((('Raw data'!B264+'Raw data'!D264)/24)*('Raw data'!G264/1000))/'plant information'!$B$20</f>
        <v>2.6891892469941965</v>
      </c>
      <c r="B264" s="33">
        <f>'Raw data'!B264/'plant information'!$B$20</f>
        <v>16.737562189054728</v>
      </c>
      <c r="C264" s="33">
        <f>('plant information'!$B$22/('Raw data'!B264+'Raw data'!D264))*24</f>
        <v>3.4344923884860137</v>
      </c>
      <c r="D264" s="33">
        <f>('Raw data'!M264-'Raw data'!N264)*100/'Raw data'!M264</f>
        <v>92.737430167597765</v>
      </c>
      <c r="E264" s="51">
        <f>('Raw data'!O264-'Raw data'!P264)*100/'Raw data'!O264</f>
        <v>90</v>
      </c>
      <c r="F264" s="37">
        <f>('Raw data'!Q264-'Raw data'!R264)*100/'Raw data'!Q264</f>
        <v>96.047430830039531</v>
      </c>
    </row>
    <row r="265" spans="1:6" ht="19.95" customHeight="1" x14ac:dyDescent="0.25">
      <c r="A265" s="32">
        <f>((('Raw data'!B265+'Raw data'!D265)/24)*('Raw data'!G265/1000))/'plant information'!$B$20</f>
        <v>2.6446686359867333</v>
      </c>
      <c r="B265" s="33">
        <f>'Raw data'!B265/'plant information'!$B$20</f>
        <v>16.706467661691541</v>
      </c>
      <c r="C265" s="33">
        <f>('plant information'!$B$22/('Raw data'!B265+'Raw data'!D265))*24</f>
        <v>3.440884758178699</v>
      </c>
      <c r="D265" s="33">
        <f>('Raw data'!M265-'Raw data'!N265)*100/'Raw data'!M265</f>
        <v>92.42603550295857</v>
      </c>
      <c r="E265" s="51">
        <f>('Raw data'!O265-'Raw data'!P265)*100/'Raw data'!O265</f>
        <v>89.325153374233125</v>
      </c>
      <c r="F265" s="37">
        <f>('Raw data'!Q265-'Raw data'!R265)*100/'Raw data'!Q265</f>
        <v>95.91836734693878</v>
      </c>
    </row>
    <row r="266" spans="1:6" ht="19.95" customHeight="1" x14ac:dyDescent="0.25">
      <c r="A266" s="32">
        <f>((('Raw data'!B266+'Raw data'!D266)/24)*('Raw data'!G266/1000))/'plant information'!$B$20</f>
        <v>2.5457679576077945</v>
      </c>
      <c r="B266" s="33">
        <f>'Raw data'!B266/'plant information'!$B$20</f>
        <v>16.053482587064675</v>
      </c>
      <c r="C266" s="33">
        <f>('plant information'!$B$22/('Raw data'!B266+'Raw data'!D266))*24</f>
        <v>3.5808448184594623</v>
      </c>
      <c r="D266" s="33">
        <f>('Raw data'!M266-'Raw data'!N266)*100/'Raw data'!M266</f>
        <v>92.228915662650607</v>
      </c>
      <c r="E266" s="51">
        <f>('Raw data'!O266-'Raw data'!P266)*100/'Raw data'!O266</f>
        <v>88.055555555555557</v>
      </c>
      <c r="F266" s="37">
        <f>('Raw data'!Q266-'Raw data'!R266)*100/'Raw data'!Q266</f>
        <v>96.414342629482078</v>
      </c>
    </row>
    <row r="267" spans="1:6" ht="19.95" customHeight="1" x14ac:dyDescent="0.25">
      <c r="A267" s="32">
        <f>((('Raw data'!B267+'Raw data'!D267)/24)*('Raw data'!G267/1000))/'plant information'!$B$20</f>
        <v>2.5601154524253733</v>
      </c>
      <c r="B267" s="33">
        <f>'Raw data'!B267/'plant information'!$B$20</f>
        <v>16.115671641791046</v>
      </c>
      <c r="C267" s="33">
        <f>('plant information'!$B$22/('Raw data'!B267+'Raw data'!D267))*24</f>
        <v>3.5670266320796697</v>
      </c>
      <c r="D267" s="33">
        <f>('Raw data'!M267-'Raw data'!N267)*100/'Raw data'!M267</f>
        <v>90.680272108843553</v>
      </c>
      <c r="E267" s="51">
        <f>('Raw data'!O267-'Raw data'!P267)*100/'Raw data'!O267</f>
        <v>90.49549549549549</v>
      </c>
      <c r="F267" s="37">
        <f>('Raw data'!Q267-'Raw data'!R267)*100/'Raw data'!Q267</f>
        <v>95.645161290322577</v>
      </c>
    </row>
    <row r="268" spans="1:6" ht="19.95" customHeight="1" x14ac:dyDescent="0.25">
      <c r="A268" s="32">
        <f>((('Raw data'!B268+'Raw data'!D268)/24)*('Raw data'!G268/1000))/'plant information'!$B$20</f>
        <v>2.5887929596807635</v>
      </c>
      <c r="B268" s="33">
        <f>'Raw data'!B268/'plant information'!$B$20</f>
        <v>16.225124378109452</v>
      </c>
      <c r="C268" s="33">
        <f>('plant information'!$B$22/('Raw data'!B268+'Raw data'!D268))*24</f>
        <v>3.5429638997206809</v>
      </c>
      <c r="D268" s="33">
        <f>('Raw data'!M268-'Raw data'!N268)*100/'Raw data'!M268</f>
        <v>92.967741935483872</v>
      </c>
      <c r="E268" s="51">
        <f>('Raw data'!O268-'Raw data'!P268)*100/'Raw data'!O268</f>
        <v>89.465408805031444</v>
      </c>
      <c r="F268" s="37">
        <f>('Raw data'!Q268-'Raw data'!R268)*100/'Raw data'!Q268</f>
        <v>96.825396825396822</v>
      </c>
    </row>
    <row r="269" spans="1:6" ht="19.95" customHeight="1" x14ac:dyDescent="0.25">
      <c r="A269" s="32">
        <f>((('Raw data'!B269+'Raw data'!D269)/24)*('Raw data'!G269/1000))/'plant information'!$B$20</f>
        <v>2.5836644776119404</v>
      </c>
      <c r="B269" s="33">
        <f>'Raw data'!B269/'plant information'!$B$20</f>
        <v>16.115671641791046</v>
      </c>
      <c r="C269" s="33">
        <f>('plant information'!$B$22/('Raw data'!B269+'Raw data'!D269))*24</f>
        <v>3.5670266320796697</v>
      </c>
      <c r="D269" s="33">
        <f>('Raw data'!M269-'Raw data'!N269)*100/'Raw data'!M269</f>
        <v>91.612903225806448</v>
      </c>
      <c r="E269" s="51">
        <f>('Raw data'!O269-'Raw data'!P269)*100/'Raw data'!O269</f>
        <v>88.83720930232559</v>
      </c>
      <c r="F269" s="37">
        <f>('Raw data'!Q269-'Raw data'!R269)*100/'Raw data'!Q269</f>
        <v>96.463414634146346</v>
      </c>
    </row>
    <row r="270" spans="1:6" ht="19.95" customHeight="1" x14ac:dyDescent="0.25">
      <c r="A270" s="32">
        <f>((('Raw data'!B270+'Raw data'!D270)/24)*('Raw data'!G270/1000))/'plant information'!$B$20</f>
        <v>2.5401826834577115</v>
      </c>
      <c r="B270" s="33">
        <f>'Raw data'!B270/'plant information'!$B$20</f>
        <v>16.053482587064675</v>
      </c>
      <c r="C270" s="33">
        <f>('plant information'!$B$22/('Raw data'!B270+'Raw data'!D270))*24</f>
        <v>3.5808448184594623</v>
      </c>
      <c r="D270" s="33">
        <f>('Raw data'!M270-'Raw data'!N270)*100/'Raw data'!M270</f>
        <v>91.898734177215175</v>
      </c>
      <c r="E270" s="51">
        <f>('Raw data'!O270-'Raw data'!P270)*100/'Raw data'!O270</f>
        <v>88.509316770186331</v>
      </c>
      <c r="F270" s="37">
        <f>('Raw data'!Q270-'Raw data'!R270)*100/'Raw data'!Q270</f>
        <v>96.062992125984252</v>
      </c>
    </row>
    <row r="271" spans="1:6" ht="19.95" customHeight="1" x14ac:dyDescent="0.25">
      <c r="A271" s="32">
        <f>((('Raw data'!B271+'Raw data'!D271)/24)*('Raw data'!G271/1000))/'plant information'!$B$20</f>
        <v>2.5189504197761199</v>
      </c>
      <c r="B271" s="33">
        <f>'Raw data'!B271/'plant information'!$B$20</f>
        <v>15.773631840796019</v>
      </c>
      <c r="C271" s="33">
        <f>('plant information'!$B$22/('Raw data'!B271+'Raw data'!D271))*24</f>
        <v>3.6443750253789844</v>
      </c>
      <c r="D271" s="33">
        <f>('Raw data'!M271-'Raw data'!N271)*100/'Raw data'!M271</f>
        <v>91.5</v>
      </c>
      <c r="E271" s="51">
        <f>('Raw data'!O271-'Raw data'!P271)*100/'Raw data'!O271</f>
        <v>88.307692307692307</v>
      </c>
      <c r="F271" s="3">
        <f>('Raw data'!Q271-'Raw data'!R271)*100/'Raw data'!Q271</f>
        <v>96.28</v>
      </c>
    </row>
    <row r="272" spans="1:6" ht="19.95" customHeight="1" x14ac:dyDescent="0.25">
      <c r="A272" s="32">
        <f>((('Raw data'!B272+'Raw data'!D272)/24)*('Raw data'!G272/1000))/'plant information'!$B$20</f>
        <v>2.6585904954394692</v>
      </c>
      <c r="B272" s="33">
        <f>'Raw data'!B272/'plant information'!$B$20</f>
        <v>16.053482587064675</v>
      </c>
      <c r="C272" s="33">
        <f>('plant information'!$B$22/('Raw data'!B272+'Raw data'!D272))*24</f>
        <v>3.5808448184594623</v>
      </c>
      <c r="D272" s="33">
        <f>('Raw data'!M272-'Raw data'!N272)*100/'Raw data'!M272</f>
        <v>92.258064516129039</v>
      </c>
      <c r="E272" s="51">
        <f>('Raw data'!O272-'Raw data'!P272)*100/'Raw data'!O272</f>
        <v>90.439882697947198</v>
      </c>
      <c r="F272" s="37">
        <f>('Raw data'!Q272-'Raw data'!R272)*100/'Raw data'!Q272</f>
        <v>95.951417004048579</v>
      </c>
    </row>
    <row r="273" spans="1:6" ht="19.95" customHeight="1" x14ac:dyDescent="0.25">
      <c r="A273" s="32">
        <f>((('Raw data'!B273+'Raw data'!D273)/24)*('Raw data'!G273/1000))/'plant information'!$B$20</f>
        <v>2.641834672989221</v>
      </c>
      <c r="B273" s="33">
        <f>'Raw data'!B273/'plant information'!$B$20</f>
        <v>16.053482587064675</v>
      </c>
      <c r="C273" s="33">
        <f>('plant information'!$B$22/('Raw data'!B273+'Raw data'!D273))*24</f>
        <v>3.5808448184594623</v>
      </c>
      <c r="D273" s="33">
        <f>('Raw data'!M273-'Raw data'!N273)*100/'Raw data'!M273</f>
        <v>90.666666666666671</v>
      </c>
      <c r="E273" s="51">
        <f>('Raw data'!O273-'Raw data'!P273)*100/'Raw data'!O273</f>
        <v>87.713414634146346</v>
      </c>
      <c r="F273" s="37">
        <f>('Raw data'!Q273-'Raw data'!R273)*100/'Raw data'!Q273</f>
        <v>96.047430830039531</v>
      </c>
    </row>
    <row r="274" spans="1:6" ht="19.95" customHeight="1" x14ac:dyDescent="0.25">
      <c r="A274" s="32">
        <f>((('Raw data'!B274+'Raw data'!D274)/24)*('Raw data'!G274/1000))/'plant information'!$B$20</f>
        <v>2.6351323440091212</v>
      </c>
      <c r="B274" s="33">
        <f>'Raw data'!B274/'plant information'!$B$20</f>
        <v>16.053482587064675</v>
      </c>
      <c r="C274" s="33">
        <f>('plant information'!$B$22/('Raw data'!B274+'Raw data'!D274))*24</f>
        <v>3.5808448184594623</v>
      </c>
      <c r="D274" s="33">
        <f>('Raw data'!M274-'Raw data'!N274)*100/'Raw data'!M274</f>
        <v>92.316384180790962</v>
      </c>
      <c r="E274" s="51">
        <f>('Raw data'!O274-'Raw data'!P274)*100/'Raw data'!O274</f>
        <v>88.087774294670851</v>
      </c>
      <c r="F274" s="37">
        <f>('Raw data'!Q274-'Raw data'!R274)*100/'Raw data'!Q274</f>
        <v>96.055776892430274</v>
      </c>
    </row>
    <row r="275" spans="1:6" ht="19.95" customHeight="1" x14ac:dyDescent="0.25">
      <c r="A275" s="32">
        <f>((('Raw data'!B275+'Raw data'!D275)/24)*('Raw data'!G275/1000))/'plant information'!$B$20</f>
        <v>2.5724906405472643</v>
      </c>
      <c r="B275" s="33">
        <f>'Raw data'!B275/'plant information'!$B$20</f>
        <v>15.758706467661691</v>
      </c>
      <c r="C275" s="33">
        <f>('plant information'!$B$22/('Raw data'!B275+'Raw data'!D275))*24</f>
        <v>3.6478266828615853</v>
      </c>
      <c r="D275" s="33">
        <f>('Raw data'!M275-'Raw data'!N275)*100/'Raw data'!M275</f>
        <v>94.557823129251702</v>
      </c>
      <c r="E275" s="51">
        <f>('Raw data'!O275-'Raw data'!P275)*100/'Raw data'!O275</f>
        <v>89.355828220858896</v>
      </c>
      <c r="F275" s="37">
        <f>('Raw data'!Q275-'Raw data'!R275)*100/'Raw data'!Q275</f>
        <v>97.096774193548384</v>
      </c>
    </row>
    <row r="276" spans="1:6" ht="19.95" customHeight="1" x14ac:dyDescent="0.25">
      <c r="A276" s="32">
        <f>((('Raw data'!B276+'Raw data'!D276)/24)*('Raw data'!G276/1000))/'plant information'!$B$20</f>
        <v>2.610795919361526</v>
      </c>
      <c r="B276" s="33">
        <f>'Raw data'!B276/'plant information'!$B$20</f>
        <v>15.804726368159203</v>
      </c>
      <c r="C276" s="33">
        <f>('plant information'!$B$22/('Raw data'!B276+'Raw data'!D276))*24</f>
        <v>3.637205010770149</v>
      </c>
      <c r="D276" s="33">
        <f>('Raw data'!M276-'Raw data'!N276)*100/'Raw data'!M276</f>
        <v>93.258426966292134</v>
      </c>
      <c r="E276" s="51">
        <f>('Raw data'!O276-'Raw data'!P276)*100/'Raw data'!O276</f>
        <v>91.8</v>
      </c>
      <c r="F276" s="37">
        <f>('Raw data'!Q276-'Raw data'!R276)*100/'Raw data'!Q276</f>
        <v>96.428571428571431</v>
      </c>
    </row>
    <row r="277" spans="1:6" ht="19.95" customHeight="1" x14ac:dyDescent="0.25">
      <c r="A277" s="32">
        <f>((('Raw data'!B277+'Raw data'!D277)/24)*('Raw data'!G277/1000))/'plant information'!$B$20</f>
        <v>2.6544878482587069</v>
      </c>
      <c r="B277" s="33">
        <f>'Raw data'!B277/'plant information'!$B$20</f>
        <v>16.089552238805972</v>
      </c>
      <c r="C277" s="33">
        <f>('plant information'!$B$22/('Raw data'!B277+'Raw data'!D277))*24</f>
        <v>3.5728172597291499</v>
      </c>
      <c r="D277" s="33">
        <f>('Raw data'!M277-'Raw data'!N277)*100/'Raw data'!M277</f>
        <v>93.742690058479539</v>
      </c>
      <c r="E277" s="51">
        <f>('Raw data'!O277-'Raw data'!P277)*100/'Raw data'!O277</f>
        <v>89.634146341463421</v>
      </c>
      <c r="F277" s="37">
        <f>('Raw data'!Q277-'Raw data'!R277)*100/'Raw data'!Q277</f>
        <v>96.666666666666671</v>
      </c>
    </row>
    <row r="278" spans="1:6" ht="19.95" customHeight="1" x14ac:dyDescent="0.25">
      <c r="A278" s="32">
        <f>((('Raw data'!B278+'Raw data'!D278)/24)*('Raw data'!G278/1000))/'plant information'!$B$20</f>
        <v>2.6296411458333337</v>
      </c>
      <c r="B278" s="33">
        <f>'Raw data'!B278/'plant information'!$B$20</f>
        <v>16.115671641791046</v>
      </c>
      <c r="C278" s="33">
        <f>('plant information'!$B$22/('Raw data'!B278+'Raw data'!D278))*24</f>
        <v>3.5670266320796697</v>
      </c>
      <c r="D278" s="33">
        <f>('Raw data'!M278-'Raw data'!N278)*100/'Raw data'!M278</f>
        <v>93.137254901960787</v>
      </c>
      <c r="E278" s="51">
        <f>('Raw data'!O278-'Raw data'!P278)*100/'Raw data'!O278</f>
        <v>91.1854103343465</v>
      </c>
      <c r="F278" s="3">
        <f>('Raw data'!Q278-'Raw data'!R278)*100/'Raw data'!Q278</f>
        <v>96.8</v>
      </c>
    </row>
    <row r="279" spans="1:6" ht="19.95" customHeight="1" x14ac:dyDescent="0.25">
      <c r="A279" s="32">
        <f>((('Raw data'!B279+'Raw data'!D279)/24)*('Raw data'!G279/1000))/'plant information'!$B$20</f>
        <v>2.5421727689676619</v>
      </c>
      <c r="B279" s="33">
        <f>'Raw data'!B279/'plant information'!$B$20</f>
        <v>16.225124378109452</v>
      </c>
      <c r="C279" s="33">
        <f>('plant information'!$B$22/('Raw data'!B279+'Raw data'!D279))*24</f>
        <v>3.7212262342978226</v>
      </c>
      <c r="D279" s="33">
        <f>('Raw data'!M279-'Raw data'!N279)*100/'Raw data'!M279</f>
        <v>92.397260273972606</v>
      </c>
      <c r="E279" s="52">
        <f>('Raw data'!O279-'Raw data'!P279)*100/'Raw data'!O279</f>
        <v>91.250000000000014</v>
      </c>
      <c r="F279" s="37">
        <f>('Raw data'!Q279-'Raw data'!R279)*100/'Raw data'!Q279</f>
        <v>96.850393700787407</v>
      </c>
    </row>
    <row r="280" spans="1:6" ht="19.95" customHeight="1" x14ac:dyDescent="0.25">
      <c r="A280" s="32">
        <f>((('Raw data'!B280+'Raw data'!D280)/24)*('Raw data'!G280/1000))/'plant information'!$B$20</f>
        <v>2.5335648833955227</v>
      </c>
      <c r="B280" s="33">
        <f>'Raw data'!B280/'plant information'!$B$20</f>
        <v>16.115671641791046</v>
      </c>
      <c r="C280" s="33">
        <f>('plant information'!$B$22/('Raw data'!B280+'Raw data'!D280))*24</f>
        <v>3.7464996701717288</v>
      </c>
      <c r="D280" s="33">
        <f>('Raw data'!M280-'Raw data'!N280)*100/'Raw data'!M280</f>
        <v>93.421052631578945</v>
      </c>
      <c r="E280" s="51">
        <f>('Raw data'!O280-'Raw data'!P280)*100/'Raw data'!O280</f>
        <v>88.958990536277597</v>
      </c>
      <c r="F280" s="37">
        <f>('Raw data'!Q280-'Raw data'!R280)*100/'Raw data'!Q280</f>
        <v>97.269076305220878</v>
      </c>
    </row>
    <row r="281" spans="1:6" ht="19.95" customHeight="1" x14ac:dyDescent="0.25">
      <c r="A281" s="32">
        <f>((('Raw data'!B281+'Raw data'!D281)/24)*('Raw data'!G281/1000))/'plant information'!$B$20</f>
        <v>2.5110255457089554</v>
      </c>
      <c r="B281" s="33">
        <f>'Raw data'!B281/'plant information'!$B$20</f>
        <v>16.053482587064675</v>
      </c>
      <c r="C281" s="33">
        <f>('plant information'!$B$22/('Raw data'!B281+'Raw data'!D281))*24</f>
        <v>3.7610131112121401</v>
      </c>
      <c r="D281" s="33">
        <f>('Raw data'!M281-'Raw data'!N281)*100/'Raw data'!M281</f>
        <v>93.006535947712436</v>
      </c>
      <c r="E281" s="51">
        <f>('Raw data'!O281-'Raw data'!P281)*100/'Raw data'!O281</f>
        <v>89.879154078549846</v>
      </c>
      <c r="F281" s="37">
        <f>('Raw data'!Q281-'Raw data'!R281)*100/'Raw data'!Q281</f>
        <v>96.414342629482078</v>
      </c>
    </row>
    <row r="282" spans="1:6" ht="19.95" customHeight="1" x14ac:dyDescent="0.25">
      <c r="A282" s="32">
        <f>((('Raw data'!B282+'Raw data'!D282)/24)*('Raw data'!G282/1000))/'plant information'!$B$20</f>
        <v>2.4536673009950247</v>
      </c>
      <c r="B282" s="33">
        <f>'Raw data'!B282/'plant information'!$B$20</f>
        <v>15.773631840796019</v>
      </c>
      <c r="C282" s="33">
        <f>('plant information'!$B$22/('Raw data'!B282+'Raw data'!D282))*24</f>
        <v>3.8277398065301291</v>
      </c>
      <c r="D282" s="33">
        <f>('Raw data'!M282-'Raw data'!N282)*100/'Raw data'!M282</f>
        <v>94.702380952380949</v>
      </c>
      <c r="E282" s="51">
        <f>('Raw data'!O282-'Raw data'!P282)*100/'Raw data'!O282</f>
        <v>92.776470588235298</v>
      </c>
      <c r="F282" s="37">
        <f>('Raw data'!Q282-'Raw data'!R282)*100/'Raw data'!Q282</f>
        <v>94.166666666666671</v>
      </c>
    </row>
    <row r="283" spans="1:6" ht="19.95" customHeight="1" x14ac:dyDescent="0.25">
      <c r="A283" s="32">
        <f>((('Raw data'!B283+'Raw data'!D283)/24)*('Raw data'!G283/1000))/'plant information'!$B$20</f>
        <v>2.5278463712686565</v>
      </c>
      <c r="B283" s="33">
        <f>'Raw data'!B283/'plant information'!$B$20</f>
        <v>16.052238805970148</v>
      </c>
      <c r="C283" s="33">
        <f>('plant information'!$B$22/('Raw data'!B283+'Raw data'!D283))*24</f>
        <v>3.7613045270738485</v>
      </c>
      <c r="D283" s="33">
        <f>('Raw data'!M283-'Raw data'!N283)*100/'Raw data'!M283</f>
        <v>91.666666666666671</v>
      </c>
      <c r="E283" s="51">
        <f>('Raw data'!O283-'Raw data'!P283)*100/'Raw data'!O283</f>
        <v>91.742857142857147</v>
      </c>
      <c r="F283" s="37">
        <f>('Raw data'!Q283-'Raw data'!R283)*100/'Raw data'!Q283</f>
        <v>96.086956521739125</v>
      </c>
    </row>
    <row r="284" spans="1:6" ht="19.95" customHeight="1" x14ac:dyDescent="0.25">
      <c r="A284" s="32">
        <f>((('Raw data'!B284+'Raw data'!D284)/24)*('Raw data'!G284/1000))/'plant information'!$B$20</f>
        <v>2.4767137313432834</v>
      </c>
      <c r="B284" s="33">
        <f>'Raw data'!B284/'plant information'!$B$20</f>
        <v>15.787313432835822</v>
      </c>
      <c r="C284" s="33">
        <f>('plant information'!$B$22/('Raw data'!B284+'Raw data'!D284))*24</f>
        <v>3.8244226129689673</v>
      </c>
      <c r="D284" s="33">
        <f>('Raw data'!M284-'Raw data'!N284)*100/'Raw data'!M284</f>
        <v>91.515151515151516</v>
      </c>
      <c r="E284" s="51">
        <f>('Raw data'!O284-'Raw data'!P284)*100/'Raw data'!O284</f>
        <v>90.851063829787236</v>
      </c>
      <c r="F284" s="37">
        <f>('Raw data'!Q284-'Raw data'!R284)*100/'Raw data'!Q284</f>
        <v>95.564516129032256</v>
      </c>
    </row>
    <row r="285" spans="1:6" ht="19.95" customHeight="1" x14ac:dyDescent="0.25">
      <c r="A285" s="32">
        <f>((('Raw data'!B285+'Raw data'!D285)/24)*('Raw data'!G285/1000))/'plant information'!$B$20</f>
        <v>2.5563306576492537</v>
      </c>
      <c r="B285" s="33">
        <f>'Raw data'!B285/'plant information'!$B$20</f>
        <v>16.426616915422887</v>
      </c>
      <c r="C285" s="33">
        <f>('plant information'!$B$22/('Raw data'!B285+'Raw data'!D285))*24</f>
        <v>3.6755808454921706</v>
      </c>
      <c r="D285" s="33">
        <f>('Raw data'!M285-'Raw data'!N285)*100/'Raw data'!M285</f>
        <v>92.546583850931682</v>
      </c>
      <c r="E285" s="51">
        <f>('Raw data'!O285-'Raw data'!P285)*100/'Raw data'!O285</f>
        <v>91.395348837209298</v>
      </c>
      <c r="F285" s="37">
        <f>('Raw data'!Q285-'Raw data'!R285)*100/'Raw data'!Q285</f>
        <v>96.428571428571431</v>
      </c>
    </row>
    <row r="286" spans="1:6" ht="19.95" customHeight="1" x14ac:dyDescent="0.25">
      <c r="A286" s="32">
        <f>((('Raw data'!B286+'Raw data'!D286)/24)*('Raw data'!G286/1000))/'plant information'!$B$20</f>
        <v>2.4839646455223878</v>
      </c>
      <c r="B286" s="33">
        <f>'Raw data'!B286/'plant information'!$B$20</f>
        <v>15.914179104477611</v>
      </c>
      <c r="C286" s="33">
        <f>('plant information'!$B$22/('Raw data'!B286+'Raw data'!D286))*24</f>
        <v>3.7939348359839862</v>
      </c>
      <c r="D286" s="33">
        <f>('Raw data'!M286-'Raw data'!N286)*100/'Raw data'!M286</f>
        <v>94.535519125683066</v>
      </c>
      <c r="E286" s="51">
        <f>('Raw data'!O286-'Raw data'!P286)*100/'Raw data'!O286</f>
        <v>93.955555555555549</v>
      </c>
      <c r="F286" s="37">
        <f>('Raw data'!Q286-'Raw data'!R286)*100/'Raw data'!Q286</f>
        <v>97.235772357723576</v>
      </c>
    </row>
    <row r="287" spans="1:6" ht="19.95" customHeight="1" x14ac:dyDescent="0.25">
      <c r="A287" s="32">
        <f>((('Raw data'!B287+'Raw data'!D287)/24)*('Raw data'!G287/1000))/'plant information'!$B$20</f>
        <v>2.506345032649254</v>
      </c>
      <c r="B287" s="33">
        <f>'Raw data'!B287/'plant information'!$B$20</f>
        <v>15.92910447761194</v>
      </c>
      <c r="C287" s="33">
        <f>('plant information'!$B$22/('Raw data'!B287+'Raw data'!D287))*24</f>
        <v>3.7903799661446937</v>
      </c>
      <c r="D287" s="33">
        <f>('Raw data'!M287-'Raw data'!N287)*100/'Raw data'!M287</f>
        <v>90.909090909090907</v>
      </c>
      <c r="E287" s="51">
        <f>('Raw data'!O287-'Raw data'!P287)*100/'Raw data'!O287</f>
        <v>91.7</v>
      </c>
      <c r="F287" s="37">
        <f>('Raw data'!Q287-'Raw data'!R287)*100/'Raw data'!Q287</f>
        <v>95.896414342629484</v>
      </c>
    </row>
    <row r="288" spans="1:6" ht="19.95" customHeight="1" x14ac:dyDescent="0.25">
      <c r="A288" s="32">
        <f>((('Raw data'!B288+'Raw data'!D288)/24)*('Raw data'!G288/1000))/'plant information'!$B$20</f>
        <v>2.486073274253731</v>
      </c>
      <c r="B288" s="33">
        <f>'Raw data'!B288/'plant information'!$B$20</f>
        <v>15.914179104477611</v>
      </c>
      <c r="C288" s="33">
        <f>('plant information'!$B$22/('Raw data'!B288+'Raw data'!D288))*24</f>
        <v>3.7939348359839862</v>
      </c>
      <c r="D288" s="33">
        <f>('Raw data'!M288-'Raw data'!N288)*100/'Raw data'!M288</f>
        <v>92.715231788079464</v>
      </c>
      <c r="E288" s="51">
        <f>('Raw data'!O288-'Raw data'!P288)*100/'Raw data'!O288</f>
        <v>90.810810810810807</v>
      </c>
      <c r="F288" s="37">
        <f>('Raw data'!Q288-'Raw data'!R288)*100/'Raw data'!Q288</f>
        <v>96.305220883534133</v>
      </c>
    </row>
    <row r="289" spans="1:6" ht="19.95" customHeight="1" x14ac:dyDescent="0.25">
      <c r="A289" s="32">
        <f>((('Raw data'!B289+'Raw data'!D289)/24)*('Raw data'!G289/1000))/'plant information'!$B$20</f>
        <v>2.4926260914179106</v>
      </c>
      <c r="B289" s="33">
        <f>'Raw data'!B289/'plant information'!$B$20</f>
        <v>15.92910447761194</v>
      </c>
      <c r="C289" s="33">
        <f>('plant information'!$B$22/('Raw data'!B289+'Raw data'!D289))*24</f>
        <v>3.7903799661446937</v>
      </c>
      <c r="D289" s="33">
        <f>('Raw data'!M289-'Raw data'!N289)*100/'Raw data'!M289</f>
        <v>93.699421965317924</v>
      </c>
      <c r="E289" s="51">
        <f>('Raw data'!O289-'Raw data'!P289)*100/'Raw data'!O289</f>
        <v>91.315789473684205</v>
      </c>
      <c r="F289" s="37">
        <f>('Raw data'!Q289-'Raw data'!R289)*100/'Raw data'!Q289</f>
        <v>95.631067961165044</v>
      </c>
    </row>
    <row r="290" spans="1:6" ht="19.95" customHeight="1" x14ac:dyDescent="0.25">
      <c r="A290" s="32">
        <f>((('Raw data'!B290+'Raw data'!D290)/24)*('Raw data'!G290/1000))/'plant information'!$B$20</f>
        <v>2.5132890049751242</v>
      </c>
      <c r="B290" s="33">
        <f>'Raw data'!B290/'plant information'!$B$20</f>
        <v>15.912935323383085</v>
      </c>
      <c r="C290" s="33">
        <f>('plant information'!$B$22/('Raw data'!B290+'Raw data'!D290))*24</f>
        <v>3.7942313761462483</v>
      </c>
      <c r="D290" s="33">
        <f>('Raw data'!M290-'Raw data'!N290)*100/'Raw data'!M290</f>
        <v>94.047619047619051</v>
      </c>
      <c r="E290" s="51">
        <f>('Raw data'!O290-'Raw data'!P290)*100/'Raw data'!O290</f>
        <v>93.75</v>
      </c>
      <c r="F290" s="37">
        <f>('Raw data'!Q290-'Raw data'!R290)*100/'Raw data'!Q290</f>
        <v>96.315789473684205</v>
      </c>
    </row>
    <row r="291" spans="1:6" ht="19.95" customHeight="1" x14ac:dyDescent="0.25">
      <c r="A291" s="32">
        <f>((('Raw data'!B291+'Raw data'!D291)/24)*('Raw data'!G291/1000))/'plant information'!$B$20</f>
        <v>2.4852611349502491</v>
      </c>
      <c r="B291" s="33">
        <f>'Raw data'!B291/'plant information'!$B$20</f>
        <v>15.942786069651742</v>
      </c>
      <c r="C291" s="33">
        <f>('plant information'!$B$22/('Raw data'!B291+'Raw data'!D291))*24</f>
        <v>3.7871271825881649</v>
      </c>
      <c r="D291" s="33">
        <f>('Raw data'!M291-'Raw data'!N291)*100/'Raw data'!M291</f>
        <v>93.292682926829272</v>
      </c>
      <c r="E291" s="51">
        <f>('Raw data'!O291-'Raw data'!P291)*100/'Raw data'!O291</f>
        <v>92.826086956521735</v>
      </c>
      <c r="F291" s="3">
        <f>('Raw data'!Q291-'Raw data'!R291)*100/'Raw data'!Q291</f>
        <v>96.8</v>
      </c>
    </row>
    <row r="292" spans="1:6" ht="19.95" customHeight="1" x14ac:dyDescent="0.25">
      <c r="A292" s="32">
        <f>((('Raw data'!B292+'Raw data'!D292)/24)*('Raw data'!G292/1000))/'plant information'!$B$20</f>
        <v>2.5021238199626867</v>
      </c>
      <c r="B292" s="33">
        <f>'Raw data'!B292/'plant information'!$B$20</f>
        <v>15.92910447761194</v>
      </c>
      <c r="C292" s="33">
        <f>('plant information'!$B$22/('Raw data'!B292+'Raw data'!D292))*24</f>
        <v>3.7903799661446937</v>
      </c>
      <c r="D292" s="33">
        <f>('Raw data'!M292-'Raw data'!N292)*100/'Raw data'!M292</f>
        <v>92.934782608695656</v>
      </c>
      <c r="E292" s="51">
        <f>('Raw data'!O292-'Raw data'!P292)*100/'Raw data'!O292</f>
        <v>90.924999999999997</v>
      </c>
      <c r="F292" s="37">
        <f>('Raw data'!Q292-'Raw data'!R292)*100/'Raw data'!Q292</f>
        <v>96.837944664031625</v>
      </c>
    </row>
    <row r="293" spans="1:6" ht="19.95" customHeight="1" x14ac:dyDescent="0.25">
      <c r="A293" s="32">
        <f>((('Raw data'!B293+'Raw data'!D293)/24)*('Raw data'!G293/1000))/'plant information'!$B$20</f>
        <v>2.5589359141791044</v>
      </c>
      <c r="B293" s="33">
        <f>'Raw data'!B293/'plant information'!$B$20</f>
        <v>16.380597014925375</v>
      </c>
      <c r="C293" s="33">
        <f>('plant information'!$B$22/('Raw data'!B293+'Raw data'!D293))*24</f>
        <v>3.6859070786951476</v>
      </c>
      <c r="D293" s="33">
        <f>('Raw data'!M293-'Raw data'!N293)*100/'Raw data'!M293</f>
        <v>92.676056338028175</v>
      </c>
      <c r="E293" s="51">
        <f>('Raw data'!O293-'Raw data'!P293)*100/'Raw data'!O293</f>
        <v>92.361111111111114</v>
      </c>
      <c r="F293" s="37">
        <f>('Raw data'!Q293-'Raw data'!R293)*100/'Raw data'!Q293</f>
        <v>96</v>
      </c>
    </row>
    <row r="294" spans="1:6" ht="19.95" customHeight="1" x14ac:dyDescent="0.25">
      <c r="A294" s="32">
        <f>((('Raw data'!B294+'Raw data'!D294)/24)*('Raw data'!G294/1000))/'plant information'!$B$20</f>
        <v>2.6379862546641792</v>
      </c>
      <c r="B294" s="33">
        <f>'Raw data'!B294/'plant information'!$B$20</f>
        <v>16.737562189054728</v>
      </c>
      <c r="C294" s="33">
        <f>('plant information'!$B$22/('Raw data'!B294+'Raw data'!D294))*24</f>
        <v>3.6072970369632973</v>
      </c>
      <c r="D294" s="33">
        <f>('Raw data'!M294-'Raw data'!N294)*100/'Raw data'!M294</f>
        <v>92.52873563218391</v>
      </c>
      <c r="E294" s="51">
        <f>('Raw data'!O294-'Raw data'!P294)*100/'Raw data'!O294</f>
        <v>90</v>
      </c>
      <c r="F294" s="37">
        <f>('Raw data'!Q294-'Raw data'!R294)*100/'Raw data'!Q294</f>
        <v>95.776892430278878</v>
      </c>
    </row>
    <row r="295" spans="1:6" ht="19.95" customHeight="1" x14ac:dyDescent="0.25">
      <c r="A295" s="32">
        <f>((('Raw data'!B295+'Raw data'!D295)/24)*('Raw data'!G295/1000))/'plant information'!$B$20</f>
        <v>2.2123231654228852</v>
      </c>
      <c r="B295" s="33">
        <f>'Raw data'!B295/'plant information'!$B$20</f>
        <v>14.203980099502488</v>
      </c>
      <c r="C295" s="33">
        <f>('plant information'!$B$22/('Raw data'!B295+'Raw data'!D295))*24</f>
        <v>4.2507352212272416</v>
      </c>
      <c r="D295" s="33">
        <f>('Raw data'!M295-'Raw data'!N295)*100/'Raw data'!M295</f>
        <v>93.278688524590166</v>
      </c>
      <c r="E295" s="51">
        <f>('Raw data'!O295-'Raw data'!P295)*100/'Raw data'!O295</f>
        <v>93.07692307692308</v>
      </c>
      <c r="F295" s="37">
        <f>('Raw data'!Q295-'Raw data'!R295)*100/'Raw data'!Q295</f>
        <v>96.209677419354833</v>
      </c>
    </row>
    <row r="296" spans="1:6" ht="19.95" customHeight="1" x14ac:dyDescent="0.25">
      <c r="A296" s="32">
        <f>((('Raw data'!B296+'Raw data'!D296)/24)*('Raw data'!G296/1000))/'plant information'!$B$20</f>
        <v>2.2240678731343286</v>
      </c>
      <c r="B296" s="33">
        <f>'Raw data'!B296/'plant information'!$B$20</f>
        <v>14.218905472636816</v>
      </c>
      <c r="C296" s="33">
        <f>('plant information'!$B$22/('Raw data'!B296+'Raw data'!D296))*24</f>
        <v>4.2462732878249732</v>
      </c>
      <c r="D296" s="33">
        <f>('Raw data'!M296-'Raw data'!N296)*100/'Raw data'!M296</f>
        <v>93.082191780821915</v>
      </c>
      <c r="E296" s="51">
        <f>('Raw data'!O296-'Raw data'!P296)*100/'Raw data'!O296</f>
        <v>92.375</v>
      </c>
      <c r="F296" s="37">
        <f>('Raw data'!Q296-'Raw data'!R296)*100/'Raw data'!Q296</f>
        <v>96</v>
      </c>
    </row>
    <row r="297" spans="1:6" ht="19.95" customHeight="1" x14ac:dyDescent="0.25">
      <c r="A297" s="32">
        <f>((('Raw data'!B297+'Raw data'!D297)/24)*('Raw data'!G297/1000))/'plant information'!$B$20</f>
        <v>2.2479543765547261</v>
      </c>
      <c r="B297" s="33">
        <f>'Raw data'!B297/'plant information'!$B$20</f>
        <v>14.359452736318408</v>
      </c>
      <c r="C297" s="33">
        <f>('plant information'!$B$22/('Raw data'!B297+'Raw data'!D297))*24</f>
        <v>4.2047116696764917</v>
      </c>
      <c r="D297" s="33">
        <f>('Raw data'!M297-'Raw data'!N297)*100/'Raw data'!M297</f>
        <v>94.047619047619051</v>
      </c>
      <c r="E297" s="51">
        <f>('Raw data'!O297-'Raw data'!P297)*100/'Raw data'!O297</f>
        <v>92.888888888888886</v>
      </c>
      <c r="F297" s="37">
        <f>('Raw data'!Q297-'Raw data'!R297)*100/'Raw data'!Q297</f>
        <v>96.747967479674799</v>
      </c>
    </row>
    <row r="298" spans="1:6" ht="19.95" customHeight="1" x14ac:dyDescent="0.25">
      <c r="A298" s="32">
        <f>((('Raw data'!B298+'Raw data'!D298)/24)*('Raw data'!G298/1000))/'plant information'!$B$20</f>
        <v>2.2426725046641787</v>
      </c>
      <c r="B298" s="33">
        <f>'Raw data'!B298/'plant information'!$B$20</f>
        <v>14.374378109452737</v>
      </c>
      <c r="C298" s="33">
        <f>('plant information'!$B$22/('Raw data'!B298+'Raw data'!D298))*24</f>
        <v>4.2538533736688109</v>
      </c>
      <c r="D298" s="33">
        <f>('Raw data'!M298-'Raw data'!N298)*100/'Raw data'!M298</f>
        <v>93.425414364640886</v>
      </c>
      <c r="E298" s="51">
        <f>('Raw data'!O298-'Raw data'!P298)*100/'Raw data'!O298</f>
        <v>93.20754716981132</v>
      </c>
      <c r="F298" s="37">
        <f>('Raw data'!Q298-'Raw data'!R298)*100/'Raw data'!Q298</f>
        <v>96.850393700787407</v>
      </c>
    </row>
    <row r="299" spans="1:6" ht="19.95" customHeight="1" x14ac:dyDescent="0.25">
      <c r="A299" s="32">
        <f>((('Raw data'!B299+'Raw data'!D299)/24)*('Raw data'!G299/1000))/'plant information'!$B$20</f>
        <v>2.2541558146766172</v>
      </c>
      <c r="B299" s="33">
        <f>'Raw data'!B299/'plant information'!$B$20</f>
        <v>14.514925373134329</v>
      </c>
      <c r="C299" s="33">
        <f>('plant information'!$B$22/('Raw data'!B299+'Raw data'!D299))*24</f>
        <v>4.2126635338038083</v>
      </c>
      <c r="D299" s="33">
        <f>('Raw data'!M299-'Raw data'!N299)*100/'Raw data'!M299</f>
        <v>90.55944055944056</v>
      </c>
      <c r="E299" s="51">
        <f>('Raw data'!O299-'Raw data'!P299)*100/'Raw data'!O299</f>
        <v>93.148148148148152</v>
      </c>
      <c r="F299" s="3">
        <f>('Raw data'!Q299-'Raw data'!R299)*100/'Raw data'!Q299</f>
        <v>95.88</v>
      </c>
    </row>
    <row r="300" spans="1:6" ht="19.95" customHeight="1" x14ac:dyDescent="0.25">
      <c r="A300" s="32">
        <f>((('Raw data'!B300+'Raw data'!D300)/24)*('Raw data'!G300/1000))/'plant information'!$B$20</f>
        <v>2.2462303902363185</v>
      </c>
      <c r="B300" s="33">
        <f>'Raw data'!B300/'plant information'!$B$20</f>
        <v>14.543532338308458</v>
      </c>
      <c r="C300" s="33">
        <f>('plant information'!$B$22/('Raw data'!B300+'Raw data'!D300))*24</f>
        <v>4.2043772718284815</v>
      </c>
      <c r="D300" s="33">
        <f>('Raw data'!M300-'Raw data'!N300)*100/'Raw data'!M300</f>
        <v>91.666666666666671</v>
      </c>
      <c r="E300" s="51">
        <f>('Raw data'!O300-'Raw data'!P300)*100/'Raw data'!O300</f>
        <v>93.541666666666671</v>
      </c>
      <c r="F300" s="37">
        <f>('Raw data'!Q300-'Raw data'!R300)*100/'Raw data'!Q300</f>
        <v>96.234817813765176</v>
      </c>
    </row>
    <row r="301" spans="1:6" ht="19.95" customHeight="1" x14ac:dyDescent="0.25">
      <c r="A301" s="32">
        <f>((('Raw data'!B301+'Raw data'!D301)/24)*('Raw data'!G301/1000))/'plant information'!$B$20</f>
        <v>2.1845087888681594</v>
      </c>
      <c r="B301" s="33">
        <f>'Raw data'!B301/'plant information'!$B$20</f>
        <v>14.167910447761194</v>
      </c>
      <c r="C301" s="33">
        <f>('plant information'!$B$22/('Raw data'!B301+'Raw data'!D301))*24</f>
        <v>4.3158443893855187</v>
      </c>
      <c r="D301" s="33">
        <f>('Raw data'!M301-'Raw data'!N301)*100/'Raw data'!M301</f>
        <v>93.491124260355036</v>
      </c>
      <c r="E301" s="51">
        <f>('Raw data'!O301-'Raw data'!P301)*100/'Raw data'!O301</f>
        <v>93.2</v>
      </c>
      <c r="F301" s="37">
        <f>('Raw data'!Q301-'Raw data'!R301)*100/'Raw data'!Q301</f>
        <v>94.166666666666671</v>
      </c>
    </row>
    <row r="302" spans="1:6" ht="19.95" customHeight="1" x14ac:dyDescent="0.25">
      <c r="A302" s="32">
        <f>((('Raw data'!B302+'Raw data'!D302)/24)*('Raw data'!G302/1000))/'plant information'!$B$20</f>
        <v>2.3062055130597012</v>
      </c>
      <c r="B302" s="33">
        <f>'Raw data'!B302/'plant information'!$B$20</f>
        <v>14.634328358208956</v>
      </c>
      <c r="C302" s="33">
        <f>('plant information'!$B$22/('Raw data'!B302+'Raw data'!D302))*24</f>
        <v>4.1782919802388614</v>
      </c>
      <c r="D302" s="33">
        <f>('Raw data'!M302-'Raw data'!N302)*100/'Raw data'!M302</f>
        <v>92.168674698795186</v>
      </c>
      <c r="E302" s="51">
        <f>('Raw data'!O302-'Raw data'!P302)*100/'Raw data'!O302</f>
        <v>89.25</v>
      </c>
      <c r="F302" s="37">
        <f>('Raw data'!Q302-'Raw data'!R302)*100/'Raw data'!Q302</f>
        <v>96.015936254980076</v>
      </c>
    </row>
    <row r="303" spans="1:6" ht="19.95" customHeight="1" x14ac:dyDescent="0.25">
      <c r="A303" s="32">
        <f>((('Raw data'!B303+'Raw data'!D303)/24)*('Raw data'!G303/1000))/'plant information'!$B$20</f>
        <v>2.3449830322346599</v>
      </c>
      <c r="B303" s="33">
        <f>'Raw data'!B303/'plant information'!$B$20</f>
        <v>14.685323383084578</v>
      </c>
      <c r="C303" s="33">
        <f>('plant information'!$B$22/('Raw data'!B303+'Raw data'!D303))*24</f>
        <v>4.1637827932150806</v>
      </c>
      <c r="D303" s="33">
        <f>('Raw data'!M303-'Raw data'!N303)*100/'Raw data'!M303</f>
        <v>90</v>
      </c>
      <c r="E303" s="51">
        <f>('Raw data'!O303-'Raw data'!P303)*100/'Raw data'!O303</f>
        <v>92.5</v>
      </c>
      <c r="F303" s="37">
        <f>('Raw data'!Q303-'Raw data'!R303)*100/'Raw data'!Q303</f>
        <v>95.564516129032256</v>
      </c>
    </row>
    <row r="304" spans="1:6" ht="19.95" customHeight="1" x14ac:dyDescent="0.25">
      <c r="A304" s="32">
        <f>((('Raw data'!B304+'Raw data'!D304)/24)*('Raw data'!G304/1000))/'plant information'!$B$20</f>
        <v>2.0957238080431182</v>
      </c>
      <c r="B304" s="33">
        <f>'Raw data'!B304/'plant information'!$B$20</f>
        <v>13.271144278606965</v>
      </c>
      <c r="C304" s="33">
        <f>('plant information'!$B$22/('Raw data'!B304+'Raw data'!D304))*24</f>
        <v>4.6074773607769863</v>
      </c>
      <c r="D304" s="33">
        <f>('Raw data'!M304-'Raw data'!N304)*100/'Raw data'!M304</f>
        <v>94.382022471910119</v>
      </c>
      <c r="E304" s="51">
        <f>('Raw data'!O304-'Raw data'!P304)*100/'Raw data'!O304</f>
        <v>93</v>
      </c>
      <c r="F304" s="37">
        <f>('Raw data'!Q304-'Raw data'!R304)*100/'Raw data'!Q304</f>
        <v>96.825396825396822</v>
      </c>
    </row>
    <row r="305" spans="1:6" ht="19.95" customHeight="1" x14ac:dyDescent="0.25">
      <c r="A305" s="32">
        <f>((('Raw data'!B305+'Raw data'!D305)/24)*('Raw data'!G305/1000))/'plant information'!$B$20</f>
        <v>2.1052735022802653</v>
      </c>
      <c r="B305" s="33">
        <f>'Raw data'!B305/'plant information'!$B$20</f>
        <v>13.271144278606965</v>
      </c>
      <c r="C305" s="33">
        <f>('plant information'!$B$22/('Raw data'!B305+'Raw data'!D305))*24</f>
        <v>4.6074773607769863</v>
      </c>
      <c r="D305" s="33">
        <f>('Raw data'!M305-'Raw data'!N305)*100/'Raw data'!M305</f>
        <v>91.666666666666671</v>
      </c>
      <c r="E305" s="51">
        <f>('Raw data'!O305-'Raw data'!P305)*100/'Raw data'!O305</f>
        <v>92.083333333333329</v>
      </c>
      <c r="F305" s="37">
        <f>('Raw data'!Q305-'Raw data'!R305)*100/'Raw data'!Q305</f>
        <v>96.056910569105696</v>
      </c>
    </row>
    <row r="306" spans="1:6" ht="19.95" customHeight="1" x14ac:dyDescent="0.25">
      <c r="A306" s="32">
        <f>((('Raw data'!B306+'Raw data'!D306)/24)*('Raw data'!G306/1000))/'plant information'!$B$20</f>
        <v>2.0986699989635156</v>
      </c>
      <c r="B306" s="33">
        <f>'Raw data'!B306/'plant information'!$B$20</f>
        <v>13.289800995024876</v>
      </c>
      <c r="C306" s="33">
        <f>('plant information'!$B$22/('Raw data'!B306+'Raw data'!D306))*24</f>
        <v>4.6010092128676128</v>
      </c>
      <c r="D306" s="33">
        <f>('Raw data'!M306-'Raw data'!N306)*100/'Raw data'!M306</f>
        <v>90.972222222222229</v>
      </c>
      <c r="E306" s="51">
        <f>('Raw data'!O306-'Raw data'!P306)*100/'Raw data'!O306</f>
        <v>93.173431734317347</v>
      </c>
      <c r="F306" s="3">
        <f>('Raw data'!Q306-'Raw data'!R306)*100/'Raw data'!Q306</f>
        <v>95.6</v>
      </c>
    </row>
    <row r="307" spans="1:6" ht="19.95" customHeight="1" x14ac:dyDescent="0.25">
      <c r="A307" s="32">
        <f>((('Raw data'!B307+'Raw data'!D307)/24)*('Raw data'!G307/1000))/'plant information'!$B$20</f>
        <v>2.1643738805970147</v>
      </c>
      <c r="B307" s="33">
        <f>'Raw data'!B307/'plant information'!$B$20</f>
        <v>13.582089552238806</v>
      </c>
      <c r="C307" s="33">
        <f>('plant information'!$B$22/('Raw data'!B307+'Raw data'!D307))*24</f>
        <v>4.501994820466158</v>
      </c>
      <c r="D307" s="33">
        <f>('Raw data'!M307-'Raw data'!N307)*100/'Raw data'!M307</f>
        <v>93.18518518518519</v>
      </c>
      <c r="E307" s="51">
        <f>('Raw data'!O307-'Raw data'!P307)*100/'Raw data'!O307</f>
        <v>94.583333333333329</v>
      </c>
      <c r="F307" s="37">
        <f>('Raw data'!Q307-'Raw data'!R307)*100/'Raw data'!Q307</f>
        <v>96.315789473684205</v>
      </c>
    </row>
    <row r="308" spans="1:6" ht="19.95" customHeight="1" x14ac:dyDescent="0.25">
      <c r="A308" s="32">
        <f>((('Raw data'!B308+'Raw data'!D308)/24)*('Raw data'!G308/1000))/'plant information'!$B$20</f>
        <v>2.0986352565298501</v>
      </c>
      <c r="B308" s="33">
        <f>'Raw data'!B308/'plant information'!$B$20</f>
        <v>13.317164179104477</v>
      </c>
      <c r="C308" s="33">
        <f>('plant information'!$B$22/('Raw data'!B308+'Raw data'!D308))*24</f>
        <v>4.5915553786766088</v>
      </c>
      <c r="D308" s="33">
        <f>('Raw data'!M308-'Raw data'!N308)*100/'Raw data'!M308</f>
        <v>92.481203007518801</v>
      </c>
      <c r="E308" s="51">
        <f>('Raw data'!O308-'Raw data'!P308)*100/'Raw data'!O308</f>
        <v>94</v>
      </c>
      <c r="F308" s="37">
        <f>('Raw data'!Q308-'Raw data'!R308)*100/'Raw data'!Q308</f>
        <v>96.787148594377513</v>
      </c>
    </row>
    <row r="309" spans="1:6" ht="19.95" customHeight="1" x14ac:dyDescent="0.25">
      <c r="A309" s="32">
        <f>((('Raw data'!B309+'Raw data'!D309)/24)*('Raw data'!G309/1000))/'plant information'!$B$20</f>
        <v>2.0983282701077943</v>
      </c>
      <c r="B309" s="33">
        <f>'Raw data'!B309/'plant information'!$B$20</f>
        <v>13.271144278606965</v>
      </c>
      <c r="C309" s="33">
        <f>('plant information'!$B$22/('Raw data'!B309+'Raw data'!D309))*24</f>
        <v>4.6074773607769863</v>
      </c>
      <c r="D309" s="33">
        <f>('Raw data'!M309-'Raw data'!N309)*100/'Raw data'!M309</f>
        <v>93.35664335664336</v>
      </c>
      <c r="E309" s="51">
        <f>('Raw data'!O309-'Raw data'!P309)*100/'Raw data'!O309</f>
        <v>92.553191489361708</v>
      </c>
      <c r="F309" s="37">
        <f>('Raw data'!Q309-'Raw data'!R309)*100/'Raw data'!Q309</f>
        <v>96.414342629482078</v>
      </c>
    </row>
    <row r="310" spans="1:6" ht="19.95" customHeight="1" x14ac:dyDescent="0.25">
      <c r="A310" s="32">
        <f>((('Raw data'!B310+'Raw data'!D310)/24)*('Raw data'!G310/1000))/'plant information'!$B$20</f>
        <v>2.0128434950248755</v>
      </c>
      <c r="B310" s="33">
        <f>'Raw data'!B310/'plant information'!$B$20</f>
        <v>12.64676616915423</v>
      </c>
      <c r="C310" s="33">
        <f>('plant information'!$B$22/('Raw data'!B310+'Raw data'!D310))*24</f>
        <v>4.8349511643873377</v>
      </c>
      <c r="D310" s="33">
        <f>('Raw data'!M310-'Raw data'!N310)*100/'Raw data'!M310</f>
        <v>90.821917808219183</v>
      </c>
      <c r="E310" s="51">
        <f>('Raw data'!O310-'Raw data'!P310)*100/'Raw data'!O310</f>
        <v>92.592592592592595</v>
      </c>
      <c r="F310" s="37">
        <f>('Raw data'!Q310-'Raw data'!R310)*100/'Raw data'!Q310</f>
        <v>96.275303643724698</v>
      </c>
    </row>
    <row r="311" spans="1:6" ht="19.95" customHeight="1" x14ac:dyDescent="0.25">
      <c r="A311" s="32">
        <f>((('Raw data'!B311+'Raw data'!D311)/24)*('Raw data'!G311/1000))/'plant information'!$B$20</f>
        <v>2.0998190215588721</v>
      </c>
      <c r="B311" s="33">
        <f>'Raw data'!B311/'plant information'!$B$20</f>
        <v>13.286069651741293</v>
      </c>
      <c r="C311" s="33">
        <f>('plant information'!$B$22/('Raw data'!B311+'Raw data'!D311))*24</f>
        <v>4.6023013892052473</v>
      </c>
      <c r="D311" s="33">
        <f>('Raw data'!M311-'Raw data'!N311)*100/'Raw data'!M311</f>
        <v>91.891891891891888</v>
      </c>
      <c r="E311" s="51">
        <f>('Raw data'!O311-'Raw data'!P311)*100/'Raw data'!O311</f>
        <v>90.6</v>
      </c>
      <c r="F311" s="37">
        <f>('Raw data'!Q311-'Raw data'!R311)*100/'Raw data'!Q311</f>
        <v>95.652173913043484</v>
      </c>
    </row>
    <row r="312" spans="1:6" ht="19.95" customHeight="1" x14ac:dyDescent="0.25">
      <c r="A312" s="32">
        <f>((('Raw data'!B312+'Raw data'!D312)/24)*('Raw data'!G312/1000))/'plant information'!$B$20</f>
        <v>2.10180088619403</v>
      </c>
      <c r="B312" s="33">
        <f>'Raw data'!B312/'plant information'!$B$20</f>
        <v>13.271144278606965</v>
      </c>
      <c r="C312" s="33">
        <f>('plant information'!$B$22/('Raw data'!B312+'Raw data'!D312))*24</f>
        <v>4.6074773607769863</v>
      </c>
      <c r="D312" s="33">
        <f>('Raw data'!M312-'Raw data'!N312)*100/'Raw data'!M312</f>
        <v>93.971631205673759</v>
      </c>
      <c r="E312" s="51">
        <f>('Raw data'!O312-'Raw data'!P312)*100/'Raw data'!O312</f>
        <v>93.52</v>
      </c>
      <c r="F312" s="37">
        <f>('Raw data'!Q312-'Raw data'!R312)*100/'Raw data'!Q312</f>
        <v>97.016129032258064</v>
      </c>
    </row>
    <row r="313" spans="1:6" ht="19.95" customHeight="1" x14ac:dyDescent="0.25">
      <c r="A313" s="32">
        <f>((('Raw data'!B313+'Raw data'!D313)/24)*('Raw data'!G313/1000))/'plant information'!$B$20</f>
        <v>2.1024719765754565</v>
      </c>
      <c r="B313" s="33">
        <f>'Raw data'!B313/'plant information'!$B$20</f>
        <v>13.269900497512438</v>
      </c>
      <c r="C313" s="33">
        <f>('plant information'!$B$22/('Raw data'!B313+'Raw data'!D313))*24</f>
        <v>4.6079092173109419</v>
      </c>
      <c r="D313" s="33">
        <f>('Raw data'!M313-'Raw data'!N313)*100/'Raw data'!M313</f>
        <v>93.525179856115102</v>
      </c>
      <c r="E313" s="51">
        <f>('Raw data'!O313-'Raw data'!P313)*100/'Raw data'!O313</f>
        <v>90.372670807453417</v>
      </c>
      <c r="F313" s="37">
        <f>('Raw data'!Q313-'Raw data'!R313)*100/'Raw data'!Q313</f>
        <v>94.615384615384613</v>
      </c>
    </row>
    <row r="314" spans="1:6" ht="19.95" customHeight="1" x14ac:dyDescent="0.25">
      <c r="A314" s="32">
        <f>((('Raw data'!B314+'Raw data'!D314)/24)*('Raw data'!G314/1000))/'plant information'!$B$20</f>
        <v>2.0943799999999997</v>
      </c>
      <c r="B314" s="33">
        <f>'Raw data'!B314/'plant information'!$B$20</f>
        <v>13.273631840796019</v>
      </c>
      <c r="C314" s="33">
        <f>('plant information'!$B$22/('Raw data'!B314+'Raw data'!D314))*24</f>
        <v>4.606613890506976</v>
      </c>
      <c r="D314" s="33">
        <f>('Raw data'!M314-'Raw data'!N314)*100/'Raw data'!M314</f>
        <v>91.780821917808225</v>
      </c>
      <c r="E314" s="51">
        <f>('Raw data'!O314-'Raw data'!P314)*100/'Raw data'!O314</f>
        <v>92.84974093264249</v>
      </c>
      <c r="F314" s="37">
        <f>('Raw data'!Q314-'Raw data'!R314)*100/'Raw data'!Q314</f>
        <v>96.341463414634148</v>
      </c>
    </row>
    <row r="315" spans="1:6" ht="19.95" customHeight="1" x14ac:dyDescent="0.25">
      <c r="A315" s="32">
        <f>((('Raw data'!B315+'Raw data'!D315)/24)*('Raw data'!G315/1000))/'plant information'!$B$20</f>
        <v>2.1893371735074627</v>
      </c>
      <c r="B315" s="33">
        <f>'Raw data'!B315/'plant information'!$B$20</f>
        <v>13.85820895522388</v>
      </c>
      <c r="C315" s="33">
        <f>('plant information'!$B$22/('Raw data'!B315+'Raw data'!D315))*24</f>
        <v>4.41229433131309</v>
      </c>
      <c r="D315" s="33">
        <f>('Raw data'!M315-'Raw data'!N315)*100/'Raw data'!M315</f>
        <v>92.463768115942031</v>
      </c>
      <c r="E315" s="51">
        <f>('Raw data'!O315-'Raw data'!P315)*100/'Raw data'!O315</f>
        <v>92.851063829787236</v>
      </c>
      <c r="F315" s="37">
        <f>('Raw data'!Q315-'Raw data'!R315)*100/'Raw data'!Q315</f>
        <v>97.211155378486055</v>
      </c>
    </row>
    <row r="316" spans="1:6" ht="19.95" customHeight="1" x14ac:dyDescent="0.25">
      <c r="A316" s="32">
        <f>((('Raw data'!B316+'Raw data'!D316)/24)*('Raw data'!G316/1000))/'plant information'!$B$20</f>
        <v>2.0194619693200662</v>
      </c>
      <c r="B316" s="33">
        <f>'Raw data'!B316/'plant information'!$B$20</f>
        <v>12.64676616915423</v>
      </c>
      <c r="C316" s="33">
        <f>('plant information'!$B$22/('Raw data'!B316+'Raw data'!D316))*24</f>
        <v>4.8349511643873377</v>
      </c>
      <c r="D316" s="33">
        <f>('Raw data'!M316-'Raw data'!N316)*100/'Raw data'!M316</f>
        <v>91.351351351351354</v>
      </c>
      <c r="E316" s="51">
        <f>('Raw data'!O316-'Raw data'!P316)*100/'Raw data'!O316</f>
        <v>90</v>
      </c>
      <c r="F316" s="37">
        <f>('Raw data'!Q316-'Raw data'!R316)*100/'Raw data'!Q316</f>
        <v>95.582329317269071</v>
      </c>
    </row>
    <row r="317" spans="1:6" ht="19.95" customHeight="1" x14ac:dyDescent="0.25">
      <c r="A317" s="32">
        <f>((('Raw data'!B317+'Raw data'!D317)/24)*('Raw data'!G317/1000))/'plant information'!$B$20</f>
        <v>2.1558862354892208</v>
      </c>
      <c r="B317" s="33">
        <f>'Raw data'!B317/'plant information'!$B$20</f>
        <v>13.286069651741293</v>
      </c>
      <c r="C317" s="33">
        <f>('plant information'!$B$22/('Raw data'!B317+'Raw data'!D317))*24</f>
        <v>4.5160082381576485</v>
      </c>
      <c r="D317" s="33">
        <f>('Raw data'!M317-'Raw data'!N317)*100/'Raw data'!M317</f>
        <v>91.525423728813564</v>
      </c>
      <c r="E317" s="51">
        <f>('Raw data'!O317-'Raw data'!P317)*100/'Raw data'!O317</f>
        <v>90</v>
      </c>
      <c r="F317" s="37">
        <f>('Raw data'!Q317-'Raw data'!R317)*100/'Raw data'!Q317</f>
        <v>96.062992125984252</v>
      </c>
    </row>
    <row r="318" spans="1:6" ht="19.95" customHeight="1" x14ac:dyDescent="0.25">
      <c r="A318" s="32">
        <f>((('Raw data'!B318+'Raw data'!D318)/24)*('Raw data'!G318/1000))/'plant information'!$B$20</f>
        <v>2.1546701492537315</v>
      </c>
      <c r="B318" s="33">
        <f>'Raw data'!B318/'plant information'!$B$20</f>
        <v>13.235074626865671</v>
      </c>
      <c r="C318" s="33">
        <f>('plant information'!$B$22/('Raw data'!B318+'Raw data'!D318))*24</f>
        <v>4.5334085142373839</v>
      </c>
      <c r="D318" s="33">
        <f>('Raw data'!M318-'Raw data'!N318)*100/'Raw data'!M318</f>
        <v>93.884892086330936</v>
      </c>
      <c r="E318" s="51">
        <f>('Raw data'!O318-'Raw data'!P318)*100/'Raw data'!O318</f>
        <v>92.802056555269928</v>
      </c>
      <c r="F318" s="37">
        <f>('Raw data'!Q318-'Raw data'!R318)*100/'Raw data'!Q318</f>
        <v>97.327935222672068</v>
      </c>
    </row>
    <row r="319" spans="1:6" ht="19.95" customHeight="1" x14ac:dyDescent="0.25">
      <c r="A319" s="32">
        <f>((('Raw data'!B319+'Raw data'!D319)/24)*('Raw data'!G319/1000))/'plant information'!$B$20</f>
        <v>2.1264859038142623</v>
      </c>
      <c r="B319" s="33">
        <f>'Raw data'!B319/'plant information'!$B$20</f>
        <v>13.099502487562189</v>
      </c>
      <c r="C319" s="33">
        <f>('plant information'!$B$22/('Raw data'!B319+'Raw data'!D319))*24</f>
        <v>4.5803266236232432</v>
      </c>
      <c r="D319" s="33">
        <f>('Raw data'!M319-'Raw data'!N319)*100/'Raw data'!M319</f>
        <v>93.582089552238813</v>
      </c>
      <c r="E319" s="52">
        <f>('Raw data'!O319-'Raw data'!P319)*100/'Raw data'!O319</f>
        <v>93</v>
      </c>
      <c r="F319" s="3">
        <f>('Raw data'!Q319-'Raw data'!R319)*100/'Raw data'!Q319</f>
        <v>97.2</v>
      </c>
    </row>
    <row r="320" spans="1:6" ht="19.95" customHeight="1" x14ac:dyDescent="0.25">
      <c r="A320" s="32">
        <f>((('Raw data'!B320+'Raw data'!D320)/24)*('Raw data'!G320/1000))/'plant information'!$B$20</f>
        <v>2.0770853233830846</v>
      </c>
      <c r="B320" s="33">
        <f>'Raw data'!B320/'plant information'!$B$20</f>
        <v>12.944029850746269</v>
      </c>
      <c r="C320" s="33">
        <f>('plant information'!$B$22/('Raw data'!B320+'Raw data'!D320))*24</f>
        <v>4.635341597002018</v>
      </c>
      <c r="D320" s="33">
        <f>('Raw data'!M320-'Raw data'!N320)*100/'Raw data'!M320</f>
        <v>93.949044585987266</v>
      </c>
      <c r="E320" s="51">
        <f>('Raw data'!O320-'Raw data'!P320)*100/'Raw data'!O320</f>
        <v>91.099476439790578</v>
      </c>
      <c r="F320" s="37">
        <f>('Raw data'!Q320-'Raw data'!R320)*100/'Raw data'!Q320</f>
        <v>96.837944664031625</v>
      </c>
    </row>
    <row r="321" spans="1:6" ht="19.95" customHeight="1" x14ac:dyDescent="0.25">
      <c r="A321" s="32">
        <f>((('Raw data'!B321+'Raw data'!D321)/24)*('Raw data'!G321/1000))/'plant information'!$B$20</f>
        <v>2.1561185737976785</v>
      </c>
      <c r="B321" s="33">
        <f>'Raw data'!B321/'plant information'!$B$20</f>
        <v>13.271144278606965</v>
      </c>
      <c r="C321" s="33">
        <f>('plant information'!$B$22/('Raw data'!B321+'Raw data'!D321))*24</f>
        <v>4.5210871602624181</v>
      </c>
      <c r="D321" s="33">
        <f>('Raw data'!M321-'Raw data'!N321)*100/'Raw data'!M321</f>
        <v>91.428571428571431</v>
      </c>
      <c r="E321" s="52">
        <f>('Raw data'!O321-'Raw data'!P321)*100/'Raw data'!O321</f>
        <v>90.75</v>
      </c>
      <c r="F321" s="37">
        <f>('Raw data'!Q321-'Raw data'!R321)*100/'Raw data'!Q321</f>
        <v>95.020408163265301</v>
      </c>
    </row>
    <row r="322" spans="1:6" ht="19.95" customHeight="1" x14ac:dyDescent="0.25">
      <c r="A322" s="32">
        <f>((('Raw data'!B322+'Raw data'!D322)/24)*('Raw data'!G322/1000))/'plant information'!$B$20</f>
        <v>2.0507527363184082</v>
      </c>
      <c r="B322" s="33">
        <f>'Raw data'!B322/'plant information'!$B$20</f>
        <v>12.664179104477611</v>
      </c>
      <c r="C322" s="33">
        <f>('plant information'!$B$22/('Raw data'!B322+'Raw data'!D322))*24</f>
        <v>4.737772539776075</v>
      </c>
      <c r="D322" s="33">
        <f>('Raw data'!M322-'Raw data'!N322)*100/'Raw data'!M322</f>
        <v>93.858267716535437</v>
      </c>
      <c r="E322" s="51">
        <f>('Raw data'!O322-'Raw data'!P322)*100/'Raw data'!O322</f>
        <v>92.525252525252526</v>
      </c>
      <c r="F322" s="37">
        <f>('Raw data'!Q322-'Raw data'!R322)*100/'Raw data'!Q322</f>
        <v>97.370517928286858</v>
      </c>
    </row>
    <row r="323" spans="1:6" ht="19.95" customHeight="1" x14ac:dyDescent="0.25">
      <c r="A323" s="32">
        <f>((('Raw data'!B323+'Raw data'!D323)/24)*('Raw data'!G323/1000))/'plant information'!$B$20</f>
        <v>2.074885240464345</v>
      </c>
      <c r="B323" s="33">
        <f>'Raw data'!B323/'plant information'!$B$20</f>
        <v>12.771144278606965</v>
      </c>
      <c r="C323" s="33">
        <f>('plant information'!$B$22/('Raw data'!B323+'Raw data'!D323))*24</f>
        <v>4.6980911569925983</v>
      </c>
      <c r="D323" s="33">
        <f>('Raw data'!M323-'Raw data'!N323)*100/'Raw data'!M323</f>
        <v>94.805194805194802</v>
      </c>
      <c r="E323" s="51">
        <f>('Raw data'!O323-'Raw data'!P323)*100/'Raw data'!O323</f>
        <v>93.483709273182953</v>
      </c>
      <c r="F323" s="37">
        <f>('Raw data'!Q323-'Raw data'!R323)*100/'Raw data'!Q323</f>
        <v>97.016129032258064</v>
      </c>
    </row>
    <row r="324" spans="1:6" ht="19.95" customHeight="1" x14ac:dyDescent="0.25">
      <c r="A324" s="32">
        <f>((('Raw data'!B324+'Raw data'!D324)/24)*('Raw data'!G324/1000))/'plant information'!$B$20</f>
        <v>2.0591927860696515</v>
      </c>
      <c r="B324" s="33">
        <f>'Raw data'!B324/'plant information'!$B$20</f>
        <v>12.633084577114428</v>
      </c>
      <c r="C324" s="33">
        <f>('plant information'!$B$22/('Raw data'!B324+'Raw data'!D324))*24</f>
        <v>4.749433887959043</v>
      </c>
      <c r="D324" s="33">
        <f>('Raw data'!M324-'Raw data'!N324)*100/'Raw data'!M324</f>
        <v>94.437086092715234</v>
      </c>
      <c r="E324" s="51">
        <f>('Raw data'!O324-'Raw data'!P324)*100/'Raw data'!O324</f>
        <v>91.743589743589737</v>
      </c>
      <c r="F324" s="37">
        <f>('Raw data'!Q324-'Raw data'!R324)*100/'Raw data'!Q324</f>
        <v>96.904761904761898</v>
      </c>
    </row>
    <row r="325" spans="1:6" ht="19.95" customHeight="1" x14ac:dyDescent="0.25">
      <c r="A325" s="32">
        <f>((('Raw data'!B325+'Raw data'!D325)/24)*('Raw data'!G325/1000))/'plant information'!$B$20</f>
        <v>2.044962686567164</v>
      </c>
      <c r="B325" s="33">
        <f>'Raw data'!B325/'plant information'!$B$20</f>
        <v>12.649253731343284</v>
      </c>
      <c r="C325" s="33">
        <f>('plant information'!$B$22/('Raw data'!B325+'Raw data'!D325))*24</f>
        <v>4.7433628318584073</v>
      </c>
      <c r="D325" s="33">
        <f>('Raw data'!M325-'Raw data'!N325)*100/'Raw data'!M325</f>
        <v>94.478527607361968</v>
      </c>
      <c r="E325" s="51">
        <f>('Raw data'!O325-'Raw data'!P325)*100/'Raw data'!O325</f>
        <v>91.493333333333339</v>
      </c>
      <c r="F325" s="37">
        <f>('Raw data'!Q325-'Raw data'!R325)*100/'Raw data'!Q325</f>
        <v>97.154471544715449</v>
      </c>
    </row>
    <row r="326" spans="1:6" ht="19.95" customHeight="1" x14ac:dyDescent="0.25">
      <c r="A326" s="32">
        <f>((('Raw data'!B326+'Raw data'!D326)/24)*('Raw data'!G326/1000))/'plant information'!$B$20</f>
        <v>2.0128540630182421</v>
      </c>
      <c r="B326" s="33">
        <f>'Raw data'!B326/'plant information'!$B$20</f>
        <v>12.476368159203981</v>
      </c>
      <c r="C326" s="33">
        <f>('plant information'!$B$22/('Raw data'!B326+'Raw data'!D326))*24</f>
        <v>4.8090918153723461</v>
      </c>
      <c r="D326" s="33">
        <f>('Raw data'!M326-'Raw data'!N326)*100/'Raw data'!M326</f>
        <v>92.368421052631575</v>
      </c>
      <c r="E326" s="51">
        <f>('Raw data'!O326-'Raw data'!P326)*100/'Raw data'!O326</f>
        <v>90.315315315315317</v>
      </c>
      <c r="F326" s="37">
        <f>('Raw data'!Q326-'Raw data'!R326)*100/'Raw data'!Q326</f>
        <v>96.062992125984252</v>
      </c>
    </row>
    <row r="327" spans="1:6" ht="19.95" customHeight="1" x14ac:dyDescent="0.25">
      <c r="A327" s="32">
        <f>((('Raw data'!B327+'Raw data'!D327)/24)*('Raw data'!G327/1000))/'plant information'!$B$20</f>
        <v>2.5350505804311769</v>
      </c>
      <c r="B327" s="33">
        <f>'Raw data'!B327/'plant information'!$B$20</f>
        <v>15.758706467661691</v>
      </c>
      <c r="C327" s="33">
        <f>('plant information'!$B$22/('Raw data'!B327+'Raw data'!D327))*24</f>
        <v>3.8074191002367801</v>
      </c>
      <c r="D327" s="33">
        <f>('Raw data'!M327-'Raw data'!N327)*100/'Raw data'!M327</f>
        <v>90.392156862745111</v>
      </c>
      <c r="E327" s="51">
        <f>('Raw data'!O327-'Raw data'!P327)*100/'Raw data'!O327</f>
        <v>89.113924050632917</v>
      </c>
      <c r="F327" s="3">
        <f>('Raw data'!Q327-'Raw data'!R327)*100/'Raw data'!Q327</f>
        <v>96</v>
      </c>
    </row>
    <row r="328" spans="1:6" ht="19.95" customHeight="1" x14ac:dyDescent="0.25">
      <c r="A328" s="32">
        <f>((('Raw data'!B328+'Raw data'!D328)/24)*('Raw data'!G328/1000))/'plant information'!$B$20</f>
        <v>1.9758542288557213</v>
      </c>
      <c r="B328" s="33">
        <f>'Raw data'!B328/'plant information'!$B$20</f>
        <v>12.181592039800995</v>
      </c>
      <c r="C328" s="33">
        <f>('plant information'!$B$22/('Raw data'!B328+'Raw data'!D328))*24</f>
        <v>4.9254645701449871</v>
      </c>
      <c r="D328" s="33">
        <f>('Raw data'!M328-'Raw data'!N328)*100/'Raw data'!M328</f>
        <v>92.307692307692307</v>
      </c>
      <c r="E328" s="51">
        <f>('Raw data'!O328-'Raw data'!P328)*100/'Raw data'!O328</f>
        <v>92.311688311688314</v>
      </c>
      <c r="F328" s="37">
        <f>('Raw data'!Q328-'Raw data'!R328)*100/'Raw data'!Q328</f>
        <v>96.761133603238861</v>
      </c>
    </row>
    <row r="329" spans="1:6" ht="19.95" customHeight="1" x14ac:dyDescent="0.25">
      <c r="A329" s="32">
        <f>((('Raw data'!B329+'Raw data'!D329)/24)*('Raw data'!G329/1000))/'plant information'!$B$20</f>
        <v>2.0171283582089554</v>
      </c>
      <c r="B329" s="33">
        <f>'Raw data'!B329/'plant information'!$B$20</f>
        <v>12.492537313432836</v>
      </c>
      <c r="C329" s="33">
        <f>('plant information'!$B$22/('Raw data'!B329+'Raw data'!D329))*24</f>
        <v>4.8028673835125453</v>
      </c>
      <c r="D329" s="33">
        <f>('Raw data'!M329-'Raw data'!N329)*100/'Raw data'!M329</f>
        <v>93.913043478260875</v>
      </c>
      <c r="E329" s="51">
        <f>('Raw data'!O329-'Raw data'!P329)*100/'Raw data'!O329</f>
        <v>92.95165394402035</v>
      </c>
      <c r="F329" s="37">
        <f>('Raw data'!Q329-'Raw data'!R329)*100/'Raw data'!Q329</f>
        <v>97.233201581027672</v>
      </c>
    </row>
    <row r="330" spans="1:6" ht="19.95" customHeight="1" x14ac:dyDescent="0.25">
      <c r="A330" s="32">
        <f>((('Raw data'!B330+'Raw data'!D330)/24)*('Raw data'!G330/1000))/'plant information'!$B$20</f>
        <v>2.0277031509121057</v>
      </c>
      <c r="B330" s="33">
        <f>'Raw data'!B330/'plant information'!$B$20</f>
        <v>12.568407960199005</v>
      </c>
      <c r="C330" s="33">
        <f>('plant information'!$B$22/('Raw data'!B330+'Raw data'!D330))*24</f>
        <v>4.773874319643741</v>
      </c>
      <c r="D330" s="33">
        <f>('Raw data'!M330-'Raw data'!N330)*100/'Raw data'!M330</f>
        <v>92.258064516129039</v>
      </c>
      <c r="E330" s="51">
        <f>('Raw data'!O330-'Raw data'!P330)*100/'Raw data'!O330</f>
        <v>92.091836734693871</v>
      </c>
      <c r="F330" s="37">
        <f>('Raw data'!Q330-'Raw data'!R330)*100/'Raw data'!Q330</f>
        <v>96.414342629482078</v>
      </c>
    </row>
    <row r="331" spans="1:6" ht="19.95" customHeight="1" x14ac:dyDescent="0.25">
      <c r="A331" s="32">
        <f>((('Raw data'!B331+'Raw data'!D331)/24)*('Raw data'!G331/1000))/'plant information'!$B$20</f>
        <v>2.0430268656716422</v>
      </c>
      <c r="B331" s="33">
        <f>'Raw data'!B331/'plant information'!$B$20</f>
        <v>12.626865671641792</v>
      </c>
      <c r="C331" s="33">
        <f>('plant information'!$B$22/('Raw data'!B331+'Raw data'!D331))*24</f>
        <v>4.75177304964539</v>
      </c>
      <c r="D331" s="33">
        <f>('Raw data'!M331-'Raw data'!N331)*100/'Raw data'!M331</f>
        <v>94.647887323943664</v>
      </c>
      <c r="E331" s="51">
        <f>('Raw data'!O331-'Raw data'!P331)*100/'Raw data'!O331</f>
        <v>95</v>
      </c>
      <c r="F331" s="37">
        <f>('Raw data'!Q331-'Raw data'!R331)*100/'Raw data'!Q331</f>
        <v>97.58064516129032</v>
      </c>
    </row>
    <row r="332" spans="1:6" ht="19.95" customHeight="1" x14ac:dyDescent="0.25">
      <c r="A332" s="32">
        <f>((('Raw data'!B332+'Raw data'!D332)/24)*('Raw data'!G332/1000))/'plant information'!$B$20</f>
        <v>2.0181706467661686</v>
      </c>
      <c r="B332" s="33">
        <f>'Raw data'!B332/'plant information'!$B$20</f>
        <v>12.629353233830846</v>
      </c>
      <c r="C332" s="33">
        <f>('plant information'!$B$22/('Raw data'!B332+'Raw data'!D332))*24</f>
        <v>4.7508371085286587</v>
      </c>
      <c r="D332" s="33">
        <f>('Raw data'!M332-'Raw data'!N332)*100/'Raw data'!M332</f>
        <v>90.909090909090907</v>
      </c>
      <c r="E332" s="51">
        <f>('Raw data'!O332-'Raw data'!P332)*100/'Raw data'!O332</f>
        <v>92.122448979591837</v>
      </c>
      <c r="F332" s="37">
        <f>('Raw data'!Q332-'Raw data'!R332)*100/'Raw data'!Q332</f>
        <v>96.785714285714292</v>
      </c>
    </row>
    <row r="333" spans="1:6" ht="19.95" customHeight="1" x14ac:dyDescent="0.25">
      <c r="A333" s="32">
        <f>((('Raw data'!B333+'Raw data'!D333)/24)*('Raw data'!G333/1000))/'plant information'!$B$20</f>
        <v>2.0350857379767828</v>
      </c>
      <c r="B333" s="33">
        <f>'Raw data'!B333/'plant information'!$B$20</f>
        <v>12.788557213930348</v>
      </c>
      <c r="C333" s="33">
        <f>('plant information'!$B$22/('Raw data'!B333+'Raw data'!D333))*24</f>
        <v>4.6916942229138296</v>
      </c>
      <c r="D333" s="33">
        <f>('Raw data'!M333-'Raw data'!N333)*100/'Raw data'!M333</f>
        <v>93.583333333333329</v>
      </c>
      <c r="E333" s="51">
        <f>('Raw data'!O333-'Raw data'!P333)*100/'Raw data'!O333</f>
        <v>93.555555555555557</v>
      </c>
      <c r="F333" s="37">
        <f>('Raw data'!Q333-'Raw data'!R333)*100/'Raw data'!Q333</f>
        <v>97.154471544715449</v>
      </c>
    </row>
    <row r="334" spans="1:6" ht="19.95" customHeight="1" x14ac:dyDescent="0.25">
      <c r="A334" s="32">
        <f>((('Raw data'!B334+'Raw data'!D334)/24)*('Raw data'!G334/1000))/'plant information'!$B$20</f>
        <v>2.011876782752902</v>
      </c>
      <c r="B334" s="33">
        <f>'Raw data'!B334/'plant information'!$B$20</f>
        <v>12.648009950248756</v>
      </c>
      <c r="C334" s="33">
        <f>('plant information'!$B$22/('Raw data'!B334+'Raw data'!D334))*24</f>
        <v>4.7438292850821124</v>
      </c>
      <c r="D334" s="33">
        <f>('Raw data'!M334-'Raw data'!N334)*100/'Raw data'!M334</f>
        <v>91.463414634146346</v>
      </c>
      <c r="E334" s="51">
        <f>('Raw data'!O334-'Raw data'!P334)*100/'Raw data'!O334</f>
        <v>92.6</v>
      </c>
      <c r="F334" s="37">
        <f>('Raw data'!Q334-'Raw data'!R334)*100/'Raw data'!Q334</f>
        <v>96.4</v>
      </c>
    </row>
    <row r="335" spans="1:6" ht="19.95" customHeight="1" x14ac:dyDescent="0.25">
      <c r="A335" s="32">
        <f>((('Raw data'!B335+'Raw data'!D335)/24)*('Raw data'!G335/1000))/'plant information'!$B$20</f>
        <v>2.0188981343283583</v>
      </c>
      <c r="B335" s="33">
        <f>'Raw data'!B335/'plant information'!$B$20</f>
        <v>12.492537313432836</v>
      </c>
      <c r="C335" s="33">
        <f>('plant information'!$B$22/('Raw data'!B335+'Raw data'!D335))*24</f>
        <v>4.6857242765976048</v>
      </c>
      <c r="D335" s="33">
        <f>('Raw data'!M335-'Raw data'!N335)*100/'Raw data'!M335</f>
        <v>87.804878048780495</v>
      </c>
      <c r="E335" s="51">
        <f>('Raw data'!O335-'Raw data'!P335)*100/'Raw data'!O335</f>
        <v>91.914893617021278</v>
      </c>
      <c r="F335" s="37">
        <f>('Raw data'!Q335-'Raw data'!R335)*100/'Raw data'!Q335</f>
        <v>96.023622047244089</v>
      </c>
    </row>
    <row r="336" spans="1:6" ht="19.95" customHeight="1" x14ac:dyDescent="0.25">
      <c r="A336" s="32">
        <f>((('Raw data'!B336+'Raw data'!D336)/24)*('Raw data'!G336/1000))/'plant information'!$B$20</f>
        <v>2.1419861007462688</v>
      </c>
      <c r="B336" s="33">
        <f>'Raw data'!B336/'plant information'!$B$20</f>
        <v>13.143034825870647</v>
      </c>
      <c r="C336" s="33">
        <f>('plant information'!$B$22/('Raw data'!B336+'Raw data'!D336))*24</f>
        <v>4.4538104129976661</v>
      </c>
      <c r="D336" s="33">
        <f>('Raw data'!M336-'Raw data'!N336)*100/'Raw data'!M336</f>
        <v>90.928571428571431</v>
      </c>
      <c r="E336" s="51">
        <f>('Raw data'!O336-'Raw data'!P336)*100/'Raw data'!O336</f>
        <v>92.6</v>
      </c>
      <c r="F336" s="37">
        <f>('Raw data'!Q336-'Raw data'!R336)*100/'Raw data'!Q336</f>
        <v>96.385542168674704</v>
      </c>
    </row>
    <row r="337" spans="1:6" ht="19.95" customHeight="1" x14ac:dyDescent="0.25">
      <c r="A337" s="32">
        <f>((('Raw data'!B337+'Raw data'!D337)/24)*('Raw data'!G337/1000))/'plant information'!$B$20</f>
        <v>2.5901329291044779</v>
      </c>
      <c r="B337" s="33">
        <f>'Raw data'!B337/'plant information'!$B$20</f>
        <v>16.013681592039802</v>
      </c>
      <c r="C337" s="33">
        <f>('plant information'!$B$22/('Raw data'!B337+'Raw data'!D337))*24</f>
        <v>3.6554108453705894</v>
      </c>
      <c r="D337" s="33">
        <f>('Raw data'!M337-'Raw data'!N337)*100/'Raw data'!M337</f>
        <v>91.666666666666671</v>
      </c>
      <c r="E337" s="51">
        <f>('Raw data'!O337-'Raw data'!P337)*100/'Raw data'!O337</f>
        <v>92.291666666666671</v>
      </c>
      <c r="F337" s="37">
        <f>('Raw data'!Q337-'Raw data'!R337)*100/'Raw data'!Q337</f>
        <v>95.617529880478088</v>
      </c>
    </row>
    <row r="338" spans="1:6" ht="19.95" customHeight="1" x14ac:dyDescent="0.25">
      <c r="A338" s="32">
        <f>((('Raw data'!B338+'Raw data'!D338)/24)*('Raw data'!G338/1000))/'plant information'!$B$20</f>
        <v>2.1425121144278609</v>
      </c>
      <c r="B338" s="33">
        <f>'Raw data'!B338/'plant information'!$B$20</f>
        <v>13.26865671641791</v>
      </c>
      <c r="C338" s="33">
        <f>('plant information'!$B$22/('Raw data'!B338+'Raw data'!D338))*24</f>
        <v>4.4116436664929077</v>
      </c>
      <c r="D338" s="33">
        <f>('Raw data'!M338-'Raw data'!N338)*100/'Raw data'!M338</f>
        <v>92.090395480225993</v>
      </c>
      <c r="E338" s="51">
        <f>('Raw data'!O338-'Raw data'!P338)*100/'Raw data'!O338</f>
        <v>93.148148148148152</v>
      </c>
      <c r="F338" s="37">
        <f>('Raw data'!Q338-'Raw data'!R338)*100/'Raw data'!Q338</f>
        <v>95.837104072398191</v>
      </c>
    </row>
    <row r="339" spans="1:6" ht="19.95" customHeight="1" x14ac:dyDescent="0.25">
      <c r="A339" s="32">
        <f>((('Raw data'!B339+'Raw data'!D339)/24)*('Raw data'!G339/1000))/'plant information'!$B$20</f>
        <v>2.0717775953565507</v>
      </c>
      <c r="B339" s="33">
        <f>'Raw data'!B339/'plant information'!$B$20</f>
        <v>12.771144278606965</v>
      </c>
      <c r="C339" s="33">
        <f>('plant information'!$B$22/('Raw data'!B339+'Raw data'!D339))*24</f>
        <v>4.5835035677976563</v>
      </c>
      <c r="D339" s="33">
        <f>('Raw data'!M339-'Raw data'!N339)*100/'Raw data'!M339</f>
        <v>93.085106382978722</v>
      </c>
      <c r="E339" s="51">
        <f>('Raw data'!O339-'Raw data'!P339)*100/'Raw data'!O339</f>
        <v>91.739130434782609</v>
      </c>
      <c r="F339" s="37">
        <f>('Raw data'!Q339-'Raw data'!R339)*100/'Raw data'!Q339</f>
        <v>96.719367588932812</v>
      </c>
    </row>
    <row r="340" spans="1:6" ht="19.95" customHeight="1" x14ac:dyDescent="0.25">
      <c r="A340" s="32">
        <f>((('Raw data'!B340+'Raw data'!D340)/24)*('Raw data'!G340/1000))/'plant information'!$B$20</f>
        <v>2.1452321890547266</v>
      </c>
      <c r="B340" s="33">
        <f>'Raw data'!B340/'plant information'!$B$20</f>
        <v>13.26865671641791</v>
      </c>
      <c r="C340" s="33">
        <f>('plant information'!$B$22/('Raw data'!B340+'Raw data'!D340))*24</f>
        <v>4.4116436664929077</v>
      </c>
      <c r="D340" s="33">
        <f>('Raw data'!M340-'Raw data'!N340)*100/'Raw data'!M340</f>
        <v>92.5</v>
      </c>
      <c r="E340" s="51">
        <f>('Raw data'!O340-'Raw data'!P340)*100/'Raw data'!O340</f>
        <v>92.2</v>
      </c>
      <c r="F340" s="37">
        <f>('Raw data'!Q340-'Raw data'!R340)*100/'Raw data'!Q340</f>
        <v>96.532258064516128</v>
      </c>
    </row>
    <row r="341" spans="1:6" ht="19.95" customHeight="1" x14ac:dyDescent="0.25">
      <c r="A341" s="32">
        <f>((('Raw data'!B341+'Raw data'!D341)/24)*('Raw data'!G341/1000))/'plant information'!$B$20</f>
        <v>2.0472795854063022</v>
      </c>
      <c r="B341" s="33">
        <f>'Raw data'!B341/'plant information'!$B$20</f>
        <v>12.64676616915423</v>
      </c>
      <c r="C341" s="33">
        <f>('plant information'!$B$22/('Raw data'!B341+'Raw data'!D341))*24</f>
        <v>4.6285812976147067</v>
      </c>
      <c r="D341" s="33">
        <f>('Raw data'!M341-'Raw data'!N341)*100/'Raw data'!M341</f>
        <v>92.028985507246375</v>
      </c>
      <c r="E341" s="51">
        <f>('Raw data'!O341-'Raw data'!P341)*100/'Raw data'!O341</f>
        <v>93.396226415094333</v>
      </c>
      <c r="F341" s="37">
        <f>('Raw data'!Q341-'Raw data'!R341)*100/'Raw data'!Q341</f>
        <v>96.30952380952381</v>
      </c>
    </row>
    <row r="342" spans="1:6" ht="19.95" customHeight="1" x14ac:dyDescent="0.25">
      <c r="A342" s="32">
        <f>((('Raw data'!B342+'Raw data'!D342)/24)*('Raw data'!G342/1000))/'plant information'!$B$20</f>
        <v>2.0666463059701492</v>
      </c>
      <c r="B342" s="33">
        <f>'Raw data'!B342/'plant information'!$B$20</f>
        <v>12.633084577114428</v>
      </c>
      <c r="C342" s="33">
        <f>('plant information'!$B$22/('Raw data'!B342+'Raw data'!D342))*24</f>
        <v>4.6335940370332125</v>
      </c>
      <c r="D342" s="33">
        <f>('Raw data'!M342-'Raw data'!N342)*100/'Raw data'!M342</f>
        <v>93.6</v>
      </c>
      <c r="E342" s="51">
        <f>('Raw data'!O342-'Raw data'!P342)*100/'Raw data'!O342</f>
        <v>95.888888888888872</v>
      </c>
      <c r="F342" s="37">
        <f>('Raw data'!Q342-'Raw data'!R342)*100/'Raw data'!Q342</f>
        <v>96.747967479674799</v>
      </c>
    </row>
    <row r="343" spans="1:6" ht="19.95" customHeight="1" x14ac:dyDescent="0.25">
      <c r="A343" s="32">
        <f>((('Raw data'!B343+'Raw data'!D343)/24)*('Raw data'!G343/1000))/'plant information'!$B$20</f>
        <v>2.0789753731343286</v>
      </c>
      <c r="B343" s="33">
        <f>'Raw data'!B343/'plant information'!$B$20</f>
        <v>12.804726368159203</v>
      </c>
      <c r="C343" s="33">
        <f>('plant information'!$B$22/('Raw data'!B343+'Raw data'!D343))*24</f>
        <v>4.5714827230836654</v>
      </c>
      <c r="D343" s="33">
        <f>('Raw data'!M343-'Raw data'!N343)*100/'Raw data'!M343</f>
        <v>93.214285714285708</v>
      </c>
      <c r="E343" s="51">
        <f>('Raw data'!O343-'Raw data'!P343)*100/'Raw data'!O343</f>
        <v>93.673469387755105</v>
      </c>
      <c r="F343" s="37">
        <f>('Raw data'!Q343-'Raw data'!R343)*100/'Raw data'!Q343</f>
        <v>96</v>
      </c>
    </row>
    <row r="344" spans="1:6" ht="19.95" customHeight="1" x14ac:dyDescent="0.25">
      <c r="A344" s="32">
        <f>((('Raw data'!B344+'Raw data'!D344)/24)*('Raw data'!G344/1000))/'plant information'!$B$20</f>
        <v>2.0693415630182419</v>
      </c>
      <c r="B344" s="33">
        <f>'Raw data'!B344/'plant information'!$B$20</f>
        <v>12.644278606965175</v>
      </c>
      <c r="C344" s="33">
        <f>('plant information'!$B$22/('Raw data'!B344+'Raw data'!D344))*24</f>
        <v>4.6294918979093396</v>
      </c>
      <c r="D344" s="33">
        <f>('Raw data'!M344-'Raw data'!N344)*100/'Raw data'!M344</f>
        <v>87.692307692307693</v>
      </c>
      <c r="E344" s="51">
        <f>('Raw data'!O344-'Raw data'!P344)*100/'Raw data'!O344</f>
        <v>92.022263450834885</v>
      </c>
      <c r="F344" s="37">
        <f>('Raw data'!Q344-'Raw data'!R344)*100/'Raw data'!Q344</f>
        <v>95.983935742971894</v>
      </c>
    </row>
    <row r="345" spans="1:6" ht="19.95" customHeight="1" x14ac:dyDescent="0.25">
      <c r="A345" s="32">
        <f>((('Raw data'!B345+'Raw data'!D345)/24)*('Raw data'!G345/1000))/'plant information'!$B$20</f>
        <v>2.071170414593698</v>
      </c>
      <c r="B345" s="33">
        <f>'Raw data'!B345/'plant information'!$B$20</f>
        <v>12.799751243781095</v>
      </c>
      <c r="C345" s="33">
        <f>('plant information'!$B$22/('Raw data'!B345+'Raw data'!D345))*24</f>
        <v>4.5732596087985957</v>
      </c>
      <c r="D345" s="33">
        <f>('Raw data'!M345-'Raw data'!N345)*100/'Raw data'!M345</f>
        <v>91</v>
      </c>
      <c r="E345" s="51">
        <f>('Raw data'!O345-'Raw data'!P345)*100/'Raw data'!O345</f>
        <v>92.249488752556232</v>
      </c>
      <c r="F345" s="37">
        <f>('Raw data'!Q345-'Raw data'!R345)*100/'Raw data'!Q345</f>
        <v>96.456692913385822</v>
      </c>
    </row>
    <row r="346" spans="1:6" ht="19.95" customHeight="1" x14ac:dyDescent="0.25">
      <c r="A346" s="32">
        <f>((('Raw data'!B346+'Raw data'!D346)/24)*('Raw data'!G346/1000))/'plant information'!$B$20</f>
        <v>2.1479423196517407</v>
      </c>
      <c r="B346" s="33">
        <f>'Raw data'!B346/'plant information'!$B$20</f>
        <v>13.235074626865671</v>
      </c>
      <c r="C346" s="33">
        <f>('plant information'!$B$22/('Raw data'!B346+'Raw data'!D346))*24</f>
        <v>4.4228375748657403</v>
      </c>
      <c r="D346" s="33">
        <f>('Raw data'!M346-'Raw data'!N346)*100/'Raw data'!M346</f>
        <v>90.322580645161295</v>
      </c>
      <c r="E346" s="51">
        <f>('Raw data'!O346-'Raw data'!P346)*100/'Raw data'!O346</f>
        <v>91.8</v>
      </c>
      <c r="F346" s="37">
        <f>('Raw data'!Q346-'Raw data'!R346)*100/'Raw data'!Q346</f>
        <v>96.477732793522264</v>
      </c>
    </row>
    <row r="347" spans="1:6" ht="19.95" customHeight="1" x14ac:dyDescent="0.25">
      <c r="A347" s="32">
        <f>((('Raw data'!B347+'Raw data'!D347)/24)*('Raw data'!G347/1000))/'plant information'!$B$20</f>
        <v>2.0654790298507462</v>
      </c>
      <c r="B347" s="33">
        <f>'Raw data'!B347/'plant information'!$B$20</f>
        <v>12.64179104477612</v>
      </c>
      <c r="C347" s="33">
        <f>('plant information'!$B$22/('Raw data'!B347+'Raw data'!D347))*24</f>
        <v>4.6304028565669366</v>
      </c>
      <c r="D347" s="33">
        <f>('Raw data'!M347-'Raw data'!N347)*100/'Raw data'!M347</f>
        <v>90</v>
      </c>
      <c r="E347" s="51">
        <f>('Raw data'!O347-'Raw data'!P347)*100/'Raw data'!O347</f>
        <v>94</v>
      </c>
      <c r="F347" s="3">
        <f>('Raw data'!Q347-'Raw data'!R347)*100/'Raw data'!Q347</f>
        <v>96</v>
      </c>
    </row>
    <row r="348" spans="1:6" ht="19.95" customHeight="1" x14ac:dyDescent="0.25">
      <c r="A348" s="32">
        <f>((('Raw data'!B348+'Raw data'!D348)/24)*('Raw data'!G348/1000))/'plant information'!$B$20</f>
        <v>2.067206741293532</v>
      </c>
      <c r="B348" s="33">
        <f>'Raw data'!B348/'plant information'!$B$20</f>
        <v>12.64179104477612</v>
      </c>
      <c r="C348" s="33">
        <f>('plant information'!$B$22/('Raw data'!B348+'Raw data'!D348))*24</f>
        <v>4.6304028565669366</v>
      </c>
      <c r="D348" s="33">
        <f>('Raw data'!M348-'Raw data'!N348)*100/'Raw data'!M348</f>
        <v>92.631578947368425</v>
      </c>
      <c r="E348" s="51">
        <f>('Raw data'!O348-'Raw data'!P348)*100/'Raw data'!O348</f>
        <v>92.270833333333329</v>
      </c>
      <c r="F348" s="37">
        <f>('Raw data'!Q348-'Raw data'!R348)*100/'Raw data'!Q348</f>
        <v>96.047430830039531</v>
      </c>
    </row>
    <row r="349" spans="1:6" ht="19.95" customHeight="1" x14ac:dyDescent="0.25">
      <c r="A349" s="32">
        <f>((('Raw data'!B349+'Raw data'!D349)/24)*('Raw data'!G349/1000))/'plant information'!$B$20</f>
        <v>2.0284376036484244</v>
      </c>
      <c r="B349" s="33">
        <f>'Raw data'!B349/'plant information'!$B$20</f>
        <v>12.562189054726367</v>
      </c>
      <c r="C349" s="33">
        <f>('plant information'!$B$22/('Raw data'!B349+'Raw data'!D349))*24</f>
        <v>4.6597440231828067</v>
      </c>
      <c r="D349" s="33">
        <f>('Raw data'!M349-'Raw data'!N349)*100/'Raw data'!M349</f>
        <v>90.786516853932582</v>
      </c>
      <c r="E349" s="51">
        <f>('Raw data'!O349-'Raw data'!P349)*100/'Raw data'!O349</f>
        <v>91.301886792452834</v>
      </c>
      <c r="F349" s="37">
        <f>('Raw data'!Q349-'Raw data'!R349)*100/'Raw data'!Q349</f>
        <v>96.040816326530617</v>
      </c>
    </row>
    <row r="350" spans="1:6" ht="19.95" customHeight="1" x14ac:dyDescent="0.25">
      <c r="A350" s="32">
        <f>((('Raw data'!B350+'Raw data'!D350)/24)*('Raw data'!G350/1000))/'plant information'!$B$20</f>
        <v>2.1495852943615259</v>
      </c>
      <c r="B350" s="33">
        <f>'Raw data'!B350/'plant information'!$B$20</f>
        <v>13.118159203980099</v>
      </c>
      <c r="C350" s="33">
        <f>('plant information'!$B$22/('Raw data'!B350+'Raw data'!D350))*24</f>
        <v>4.4622560570917162</v>
      </c>
      <c r="D350" s="33">
        <f>('Raw data'!M350-'Raw data'!N350)*100/'Raw data'!M350</f>
        <v>90.588235294117652</v>
      </c>
      <c r="E350" s="52">
        <f>('Raw data'!O350-'Raw data'!P350)*100/'Raw data'!O350</f>
        <v>90.5</v>
      </c>
      <c r="F350" s="37">
        <f>('Raw data'!Q350-'Raw data'!R350)*100/'Raw data'!Q350</f>
        <v>96.015936254980076</v>
      </c>
    </row>
    <row r="351" spans="1:6" ht="19.95" customHeight="1" x14ac:dyDescent="0.25">
      <c r="A351" s="32">
        <f>((('Raw data'!B351+'Raw data'!D351)/24)*('Raw data'!G351/1000))/'plant information'!$B$20</f>
        <v>2.0378019900497515</v>
      </c>
      <c r="B351" s="33">
        <f>'Raw data'!B351/'plant information'!$B$20</f>
        <v>12.477611940298507</v>
      </c>
      <c r="C351" s="33">
        <f>('plant information'!$B$22/('Raw data'!B351+'Raw data'!D351))*24</f>
        <v>4.6913292099428174</v>
      </c>
      <c r="D351" s="33">
        <f>('Raw data'!M351-'Raw data'!N351)*100/'Raw data'!M351</f>
        <v>90.384615384615387</v>
      </c>
      <c r="E351" s="51">
        <f>('Raw data'!O351-'Raw data'!P351)*100/'Raw data'!O351</f>
        <v>91.320754716981128</v>
      </c>
      <c r="F351" s="37">
        <f>('Raw data'!Q351-'Raw data'!R351)*100/'Raw data'!Q351</f>
        <v>95.967741935483872</v>
      </c>
    </row>
    <row r="352" spans="1:6" ht="19.95" customHeight="1" x14ac:dyDescent="0.25">
      <c r="A352" s="32">
        <f>((('Raw data'!B352+'Raw data'!D352)/24)*('Raw data'!G352/1000))/'plant information'!$B$20</f>
        <v>2.0292960199004972</v>
      </c>
      <c r="B352" s="33">
        <f>'Raw data'!B352/'plant information'!$B$20</f>
        <v>12.562189054726367</v>
      </c>
      <c r="C352" s="33">
        <f>('plant information'!$B$22/('Raw data'!B352+'Raw data'!D352))*24</f>
        <v>4.6597440231828067</v>
      </c>
      <c r="D352" s="33">
        <f>('Raw data'!M352-'Raw data'!N352)*100/'Raw data'!M352</f>
        <v>90.573248407643305</v>
      </c>
      <c r="E352" s="51">
        <f>('Raw data'!O352-'Raw data'!P352)*100/'Raw data'!O352</f>
        <v>92.222222222222229</v>
      </c>
      <c r="F352" s="37">
        <f>('Raw data'!Q352-'Raw data'!R352)*100/'Raw data'!Q352</f>
        <v>95.634920634920633</v>
      </c>
    </row>
    <row r="353" spans="1:6" ht="19.95" customHeight="1" x14ac:dyDescent="0.25">
      <c r="A353" s="32">
        <f>((('Raw data'!B353+'Raw data'!D353)/24)*('Raw data'!G353/1000))/'plant information'!$B$20</f>
        <v>2.1076138215174129</v>
      </c>
      <c r="B353" s="33">
        <f>'Raw data'!B353/'plant information'!$B$20</f>
        <v>13.022388059701493</v>
      </c>
      <c r="C353" s="33">
        <f>('plant information'!$B$22/('Raw data'!B353+'Raw data'!D353))*24</f>
        <v>4.5226501661187974</v>
      </c>
      <c r="D353" s="33">
        <f>('Raw data'!M353-'Raw data'!N353)*100/'Raw data'!M353</f>
        <v>92.533333333333346</v>
      </c>
      <c r="E353" s="51">
        <f>('Raw data'!O353-'Raw data'!P353)*100/'Raw data'!O353</f>
        <v>90.656565656565661</v>
      </c>
      <c r="F353" s="37">
        <f>('Raw data'!Q353-'Raw data'!R353)*100/'Raw data'!Q353</f>
        <v>96.747967479674799</v>
      </c>
    </row>
    <row r="354" spans="1:6" ht="19.95" customHeight="1" x14ac:dyDescent="0.25">
      <c r="A354" s="32">
        <f>((('Raw data'!B354+'Raw data'!D354)/24)*('Raw data'!G354/1000))/'plant information'!$B$20</f>
        <v>2.0327370480928693</v>
      </c>
      <c r="B354" s="33">
        <f>'Raw data'!B354/'plant information'!$B$20</f>
        <v>12.639303482587065</v>
      </c>
      <c r="C354" s="33">
        <f>('plant information'!$B$22/('Raw data'!B354+'Raw data'!D354))*24</f>
        <v>4.6597271441904935</v>
      </c>
      <c r="D354" s="33">
        <f>('Raw data'!M354-'Raw data'!N354)*100/'Raw data'!M354</f>
        <v>92.258064516129039</v>
      </c>
      <c r="E354" s="51">
        <f>('Raw data'!O354-'Raw data'!P354)*100/'Raw data'!O354</f>
        <v>93.187347931873475</v>
      </c>
      <c r="F354" s="37">
        <f>('Raw data'!Q354-'Raw data'!R354)*100/'Raw data'!Q354</f>
        <v>94.191616766467078</v>
      </c>
    </row>
    <row r="355" spans="1:6" ht="19.95" customHeight="1" x14ac:dyDescent="0.25">
      <c r="A355" s="32">
        <f>((('Raw data'!B355+'Raw data'!D355)/24)*('Raw data'!G355/1000))/'plant information'!$B$20</f>
        <v>2.0361281509121061</v>
      </c>
      <c r="B355" s="33">
        <f>'Raw data'!B355/'plant information'!$B$20</f>
        <v>12.512437810945274</v>
      </c>
      <c r="C355" s="33">
        <f>('plant information'!$B$22/('Raw data'!B355+'Raw data'!D355))*24</f>
        <v>4.7069728866067404</v>
      </c>
      <c r="D355" s="33">
        <f>('Raw data'!M355-'Raw data'!N355)*100/'Raw data'!M355</f>
        <v>90.40650406504065</v>
      </c>
      <c r="E355" s="51">
        <f>('Raw data'!O355-'Raw data'!P355)*100/'Raw data'!O355</f>
        <v>90.959232613908867</v>
      </c>
      <c r="F355" s="3">
        <f>('Raw data'!Q355-'Raw data'!R355)*100/'Raw data'!Q355</f>
        <v>95.88</v>
      </c>
    </row>
    <row r="356" spans="1:6" ht="19.95" customHeight="1" x14ac:dyDescent="0.25">
      <c r="A356" s="32">
        <f>((('Raw data'!B356+'Raw data'!D356)/24)*('Raw data'!G356/1000))/'plant information'!$B$20</f>
        <v>2.1365810401119401</v>
      </c>
      <c r="B356" s="33">
        <f>'Raw data'!B356/'plant information'!$B$20</f>
        <v>13.190298507462687</v>
      </c>
      <c r="C356" s="33">
        <f>('plant information'!$B$22/('Raw data'!B356+'Raw data'!D356))*24</f>
        <v>4.4650775331696178</v>
      </c>
      <c r="D356" s="33">
        <f>('Raw data'!M356-'Raw data'!N356)*100/'Raw data'!M356</f>
        <v>94.308943089430898</v>
      </c>
      <c r="E356" s="51">
        <f>('Raw data'!O356-'Raw data'!P356)*100/'Raw data'!O356</f>
        <v>90</v>
      </c>
      <c r="F356" s="37">
        <f>('Raw data'!Q356-'Raw data'!R356)*100/'Raw data'!Q356</f>
        <v>96.341463414634148</v>
      </c>
    </row>
    <row r="357" spans="1:6" ht="19.95" customHeight="1" x14ac:dyDescent="0.25">
      <c r="A357" s="32">
        <f>((('Raw data'!B357+'Raw data'!D357)/24)*('Raw data'!G357/1000))/'plant information'!$B$20</f>
        <v>0.51789550062189038</v>
      </c>
      <c r="B357" s="33">
        <f>'Raw data'!B357/'plant information'!$B$20</f>
        <v>3.1865671641791047</v>
      </c>
      <c r="C357" s="33">
        <f>('plant information'!$B$22/('Raw data'!B357+'Raw data'!D357))*24</f>
        <v>18.48249306762834</v>
      </c>
      <c r="D357" s="33">
        <f>('Raw data'!M357-'Raw data'!N357)*100/'Raw data'!M357</f>
        <v>91.25</v>
      </c>
      <c r="E357" s="51">
        <f>('Raw data'!O357-'Raw data'!P357)*100/'Raw data'!O357</f>
        <v>90.361445783132524</v>
      </c>
      <c r="F357" s="37">
        <f>('Raw data'!Q357-'Raw data'!R357)*100/'Raw data'!Q357</f>
        <v>96.047430830039531</v>
      </c>
    </row>
    <row r="358" spans="1:6" ht="19.95" customHeight="1" x14ac:dyDescent="0.25">
      <c r="A358" s="32">
        <f>((('Raw data'!B358+'Raw data'!D358)/24)*('Raw data'!G358/1000))/'plant information'!$B$20</f>
        <v>1.7767211183665008</v>
      </c>
      <c r="B358" s="33">
        <f>'Raw data'!B358/'plant information'!$B$20</f>
        <v>10.922885572139304</v>
      </c>
      <c r="C358" s="33">
        <f>('plant information'!$B$22/('Raw data'!B358+'Raw data'!D358))*24</f>
        <v>5.3919548211414039</v>
      </c>
      <c r="D358" s="33">
        <f>('Raw data'!M358-'Raw data'!N358)*100/'Raw data'!M358</f>
        <v>91.366906474820141</v>
      </c>
      <c r="E358" s="51">
        <f>('Raw data'!O358-'Raw data'!P358)*100/'Raw data'!O358</f>
        <v>91.219512195121951</v>
      </c>
      <c r="F358" s="37">
        <f>('Raw data'!Q358-'Raw data'!R358)*100/'Raw data'!Q358</f>
        <v>96.414342629482078</v>
      </c>
    </row>
    <row r="359" spans="1:6" ht="19.95" customHeight="1" x14ac:dyDescent="0.25">
      <c r="A359" s="32">
        <f>((('Raw data'!B359+'Raw data'!D359)/24)*('Raw data'!G359/1000))/'plant information'!$B$20</f>
        <v>2.5264738976990051</v>
      </c>
      <c r="B359" s="33">
        <f>'Raw data'!B359/'plant information'!$B$20</f>
        <v>15.742537313432836</v>
      </c>
      <c r="C359" s="33">
        <f>('plant information'!$B$22/('Raw data'!B359+'Raw data'!D359))*24</f>
        <v>3.741182526606921</v>
      </c>
      <c r="D359" s="33">
        <f>('Raw data'!M359-'Raw data'!N359)*100/'Raw data'!M359</f>
        <v>91.71974522292993</v>
      </c>
      <c r="E359" s="51">
        <f>('Raw data'!O359-'Raw data'!P359)*100/'Raw data'!O359</f>
        <v>90.973871733966746</v>
      </c>
      <c r="F359" s="37">
        <f>('Raw data'!Q359-'Raw data'!R359)*100/'Raw data'!Q359</f>
        <v>96.370967741935488</v>
      </c>
    </row>
    <row r="360" spans="1:6" ht="19.95" customHeight="1" x14ac:dyDescent="0.25">
      <c r="A360" s="32">
        <f>((('Raw data'!B360+'Raw data'!D360)/24)*('Raw data'!G360/1000))/'plant information'!$B$20</f>
        <v>2.1394613318822553</v>
      </c>
      <c r="B360" s="33">
        <f>'Raw data'!B360/'plant information'!$B$20</f>
        <v>13.286069651741293</v>
      </c>
      <c r="C360" s="33">
        <f>('plant information'!$B$22/('Raw data'!B360+'Raw data'!D360))*24</f>
        <v>4.432891522117937</v>
      </c>
      <c r="D360" s="33">
        <f>('Raw data'!M360-'Raw data'!N360)*100/'Raw data'!M360</f>
        <v>91.240875912408754</v>
      </c>
      <c r="E360" s="51">
        <f>('Raw data'!O360-'Raw data'!P360)*100/'Raw data'!O360</f>
        <v>91.898734177215189</v>
      </c>
      <c r="F360" s="37">
        <f>('Raw data'!Q360-'Raw data'!R360)*100/'Raw data'!Q360</f>
        <v>96.19047619047619</v>
      </c>
    </row>
    <row r="361" spans="1:6" ht="19.95" customHeight="1" x14ac:dyDescent="0.25">
      <c r="A361" s="32">
        <f>((('Raw data'!B361+'Raw data'!D361)/24)*('Raw data'!G361/1000))/'plant information'!$B$20</f>
        <v>1.9847721693615259</v>
      </c>
      <c r="B361" s="33">
        <f>'Raw data'!B361/'plant information'!$B$20</f>
        <v>12.181592039800995</v>
      </c>
      <c r="C361" s="33">
        <f>('plant information'!$B$22/('Raw data'!B361+'Raw data'!D361))*24</f>
        <v>4.8348118479950788</v>
      </c>
      <c r="D361" s="33">
        <f>('Raw data'!M361-'Raw data'!N361)*100/'Raw data'!M361</f>
        <v>91.17647058823529</v>
      </c>
      <c r="E361" s="51">
        <f>('Raw data'!O361-'Raw data'!P361)*100/'Raw data'!O361</f>
        <v>91.557177615571774</v>
      </c>
      <c r="F361" s="37">
        <f>('Raw data'!Q361-'Raw data'!R361)*100/'Raw data'!Q361</f>
        <v>95.934959349593498</v>
      </c>
    </row>
    <row r="362" spans="1:6" ht="19.95" customHeight="1" x14ac:dyDescent="0.25">
      <c r="A362" s="32">
        <f>((('Raw data'!B362+'Raw data'!D362)/24)*('Raw data'!G362/1000))/'plant information'!$B$20</f>
        <v>2.0485016552653397</v>
      </c>
      <c r="B362" s="33">
        <f>'Raw data'!B362/'plant information'!$B$20</f>
        <v>12.196517412935323</v>
      </c>
      <c r="C362" s="33">
        <f>('plant information'!$B$22/('Raw data'!B362+'Raw data'!D362))*24</f>
        <v>4.8288952926028763</v>
      </c>
      <c r="D362" s="33">
        <f>('Raw data'!M362-'Raw data'!N362)*100/'Raw data'!M362</f>
        <v>92.537313432835816</v>
      </c>
      <c r="E362" s="51">
        <f>('Raw data'!O362-'Raw data'!P362)*100/'Raw data'!O362</f>
        <v>92.32673267326733</v>
      </c>
      <c r="F362" s="37">
        <f>('Raw data'!Q362-'Raw data'!R362)*100/'Raw data'!Q362</f>
        <v>96.111111111111114</v>
      </c>
    </row>
    <row r="363" spans="1:6" ht="19.95" customHeight="1" x14ac:dyDescent="0.25">
      <c r="A363" s="32">
        <f>((('Raw data'!B363+'Raw data'!D363)/24)*('Raw data'!G363/1000))/'plant information'!$B$20</f>
        <v>2.1377784514925371</v>
      </c>
      <c r="B363" s="33">
        <f>'Raw data'!B363/'plant information'!$B$20</f>
        <v>12.810945273631841</v>
      </c>
      <c r="C363" s="33">
        <f>('plant information'!$B$22/('Raw data'!B363+'Raw data'!D363))*24</f>
        <v>4.5972958484722142</v>
      </c>
      <c r="D363" s="33">
        <f>('Raw data'!M363-'Raw data'!N363)*100/'Raw data'!M363</f>
        <v>91.582733812949641</v>
      </c>
      <c r="E363" s="51">
        <f>('Raw data'!O363-'Raw data'!P363)*100/'Raw data'!O363</f>
        <v>91.325301204819283</v>
      </c>
      <c r="F363" s="37">
        <f>('Raw data'!Q363-'Raw data'!R363)*100/'Raw data'!Q363</f>
        <v>96.496062992125985</v>
      </c>
    </row>
    <row r="364" spans="1:6" ht="19.95" customHeight="1" x14ac:dyDescent="0.25">
      <c r="A364" s="32">
        <f>((('Raw data'!B364+'Raw data'!D364)/24)*('Raw data'!G364/1000))/'plant information'!$B$20</f>
        <v>2.107772209266169</v>
      </c>
      <c r="B364" s="33">
        <f>'Raw data'!B364/'plant information'!$B$20</f>
        <v>12.488805970149254</v>
      </c>
      <c r="C364" s="33">
        <f>('plant information'!$B$22/('Raw data'!B364+'Raw data'!D364))*24</f>
        <v>4.715879617494652</v>
      </c>
      <c r="D364" s="33">
        <f>('Raw data'!M364-'Raw data'!N364)*100/'Raw data'!M364</f>
        <v>90.963855421686745</v>
      </c>
      <c r="E364" s="51">
        <f>('Raw data'!O364-'Raw data'!P364)*100/'Raw data'!O364</f>
        <v>90.123456790123456</v>
      </c>
      <c r="F364" s="37">
        <f>('Raw data'!Q364-'Raw data'!R364)*100/'Raw data'!Q364</f>
        <v>95.582329317269071</v>
      </c>
    </row>
    <row r="365" spans="1:6" ht="19.95" customHeight="1" x14ac:dyDescent="0.25">
      <c r="A365" s="32">
        <f>((('Raw data'!B365+'Raw data'!D365)/24)*('Raw data'!G365/1000))/'plant information'!$B$20</f>
        <v>2.1039468283582092</v>
      </c>
      <c r="B365" s="33">
        <f>'Raw data'!B365/'plant information'!$B$20</f>
        <v>12.562189054726367</v>
      </c>
      <c r="C365" s="33">
        <f>('plant information'!$B$22/('Raw data'!B365+'Raw data'!D365))*24</f>
        <v>4.6883314098281001</v>
      </c>
      <c r="D365" s="33">
        <f>('Raw data'!M365-'Raw data'!N365)*100/'Raw data'!M365</f>
        <v>91.411042944785279</v>
      </c>
      <c r="E365" s="51">
        <f>('Raw data'!O365-'Raw data'!P365)*100/'Raw data'!O365</f>
        <v>91.510791366906474</v>
      </c>
      <c r="F365" s="37">
        <f>('Raw data'!Q365-'Raw data'!R365)*100/'Raw data'!Q365</f>
        <v>95.617529880478088</v>
      </c>
    </row>
    <row r="366" spans="1:6" ht="19.95" customHeight="1" x14ac:dyDescent="0.25">
      <c r="A366" s="32">
        <f>((('Raw data'!B366+'Raw data'!D366)/24)*('Raw data'!G366/1000))/'plant information'!$B$20</f>
        <v>2.1166685323383083</v>
      </c>
      <c r="B366" s="33">
        <f>'Raw data'!B366/'plant information'!$B$20</f>
        <v>13.233830845771145</v>
      </c>
      <c r="C366" s="33">
        <f>('plant information'!$B$22/('Raw data'!B366+'Raw data'!D366))*24</f>
        <v>4.4503897781262971</v>
      </c>
      <c r="D366" s="33">
        <f>('Raw data'!M366-'Raw data'!N366)*100/'Raw data'!M366</f>
        <v>90</v>
      </c>
      <c r="E366" s="51">
        <f>('Raw data'!O366-'Raw data'!P366)*100/'Raw data'!O366</f>
        <v>90.322580645161295</v>
      </c>
      <c r="F366" s="37">
        <f>('Raw data'!Q366-'Raw data'!R366)*100/'Raw data'!Q366</f>
        <v>95.294117647058826</v>
      </c>
    </row>
    <row r="367" spans="1:6" ht="19.95" customHeight="1" x14ac:dyDescent="0.25"/>
    <row r="368" spans="1:6" ht="19.95" customHeight="1" x14ac:dyDescent="0.25"/>
    <row r="369" ht="19.95" customHeight="1" x14ac:dyDescent="0.25"/>
    <row r="370" ht="19.95" customHeight="1" x14ac:dyDescent="0.25"/>
    <row r="371" ht="19.95" customHeight="1" x14ac:dyDescent="0.25"/>
    <row r="372" ht="19.95" customHeight="1" x14ac:dyDescent="0.25"/>
    <row r="373" ht="19.95" customHeight="1" x14ac:dyDescent="0.25"/>
    <row r="374" ht="19.95" customHeight="1" x14ac:dyDescent="0.25"/>
    <row r="375" ht="19.95" customHeight="1" x14ac:dyDescent="0.25"/>
    <row r="376" ht="19.95" customHeight="1" x14ac:dyDescent="0.25"/>
    <row r="377" ht="19.95" customHeight="1" x14ac:dyDescent="0.25"/>
    <row r="378" ht="19.95" customHeight="1" x14ac:dyDescent="0.25"/>
    <row r="379" ht="19.95" customHeight="1" x14ac:dyDescent="0.25"/>
    <row r="380" ht="19.95" customHeight="1" x14ac:dyDescent="0.25"/>
    <row r="381" ht="19.95" customHeight="1" x14ac:dyDescent="0.25"/>
    <row r="382" ht="19.95" customHeight="1" x14ac:dyDescent="0.25"/>
    <row r="383" ht="19.95" customHeight="1" x14ac:dyDescent="0.25"/>
    <row r="384" ht="19.95" customHeight="1" x14ac:dyDescent="0.25"/>
    <row r="385" ht="19.95" customHeight="1" x14ac:dyDescent="0.25"/>
    <row r="386" ht="19.95" customHeight="1" x14ac:dyDescent="0.25"/>
    <row r="387" ht="19.95" customHeight="1" x14ac:dyDescent="0.25"/>
    <row r="388" ht="19.95" customHeight="1" x14ac:dyDescent="0.25"/>
    <row r="389" ht="19.95" customHeight="1" x14ac:dyDescent="0.25"/>
    <row r="390" ht="19.95" customHeight="1" x14ac:dyDescent="0.25"/>
    <row r="391" ht="19.95" customHeight="1" x14ac:dyDescent="0.25"/>
    <row r="392" ht="19.95" customHeight="1" x14ac:dyDescent="0.25"/>
    <row r="393" ht="19.95" customHeight="1" x14ac:dyDescent="0.25"/>
    <row r="394" ht="19.95" customHeight="1" x14ac:dyDescent="0.25"/>
    <row r="395" ht="19.95" customHeight="1" x14ac:dyDescent="0.25"/>
    <row r="396" ht="19.95" customHeight="1" x14ac:dyDescent="0.25"/>
    <row r="397" ht="19.95" customHeight="1" x14ac:dyDescent="0.25"/>
    <row r="398" ht="19.95" customHeight="1" x14ac:dyDescent="0.25"/>
    <row r="399" ht="19.95" customHeight="1" x14ac:dyDescent="0.25"/>
    <row r="400" ht="19.95" customHeight="1" x14ac:dyDescent="0.25"/>
    <row r="401" ht="19.95" customHeight="1" x14ac:dyDescent="0.25"/>
    <row r="402" ht="19.95" customHeight="1" x14ac:dyDescent="0.25"/>
    <row r="403" ht="19.95" customHeight="1" x14ac:dyDescent="0.25"/>
    <row r="404" ht="19.95" customHeight="1" x14ac:dyDescent="0.25"/>
    <row r="405" ht="19.95" customHeight="1" x14ac:dyDescent="0.25"/>
    <row r="406" ht="19.95" customHeight="1" x14ac:dyDescent="0.25"/>
    <row r="407" ht="19.95" customHeight="1" x14ac:dyDescent="0.25"/>
    <row r="408" ht="19.95" customHeight="1" x14ac:dyDescent="0.25"/>
    <row r="409" ht="19.95" customHeight="1" x14ac:dyDescent="0.25"/>
    <row r="410" ht="19.95" customHeight="1" x14ac:dyDescent="0.25"/>
    <row r="411" ht="19.95" customHeight="1" x14ac:dyDescent="0.25"/>
    <row r="412" ht="19.95" customHeight="1" x14ac:dyDescent="0.25"/>
    <row r="413" ht="19.95" customHeight="1" x14ac:dyDescent="0.25"/>
    <row r="414" ht="19.95" customHeight="1" x14ac:dyDescent="0.25"/>
    <row r="415" ht="19.95" customHeight="1" x14ac:dyDescent="0.25"/>
    <row r="416" ht="19.95" customHeight="1" x14ac:dyDescent="0.25"/>
    <row r="417" ht="19.95" customHeight="1" x14ac:dyDescent="0.25"/>
    <row r="418" ht="19.95" customHeight="1" x14ac:dyDescent="0.25"/>
    <row r="419" ht="19.95" customHeight="1" x14ac:dyDescent="0.25"/>
    <row r="420" ht="19.95" customHeight="1" x14ac:dyDescent="0.25"/>
    <row r="421" ht="19.95" customHeight="1" x14ac:dyDescent="0.25"/>
    <row r="422" ht="19.95" customHeight="1" x14ac:dyDescent="0.25"/>
    <row r="423" ht="19.95" customHeight="1" x14ac:dyDescent="0.25"/>
    <row r="424" ht="19.95" customHeight="1" x14ac:dyDescent="0.25"/>
    <row r="425" ht="19.95" customHeight="1" x14ac:dyDescent="0.25"/>
    <row r="426" ht="19.95" customHeight="1" x14ac:dyDescent="0.25"/>
    <row r="427" ht="19.95" customHeight="1" x14ac:dyDescent="0.25"/>
    <row r="428" ht="19.95" customHeight="1" x14ac:dyDescent="0.25"/>
    <row r="429" ht="19.95" customHeight="1" x14ac:dyDescent="0.25"/>
    <row r="430" ht="19.95" customHeight="1" x14ac:dyDescent="0.25"/>
    <row r="431" ht="19.95" customHeight="1" x14ac:dyDescent="0.25"/>
    <row r="432" ht="19.95" customHeight="1" x14ac:dyDescent="0.25"/>
    <row r="433" ht="19.95" customHeight="1" x14ac:dyDescent="0.25"/>
    <row r="434" ht="19.95" customHeight="1" x14ac:dyDescent="0.25"/>
    <row r="435" ht="19.95" customHeight="1" x14ac:dyDescent="0.25"/>
    <row r="436" ht="19.95" customHeight="1" x14ac:dyDescent="0.25"/>
    <row r="437" ht="19.95" customHeight="1" x14ac:dyDescent="0.25"/>
    <row r="438" ht="19.95" customHeight="1" x14ac:dyDescent="0.25"/>
    <row r="439" ht="19.95" customHeight="1" x14ac:dyDescent="0.25"/>
    <row r="440" ht="19.95" customHeight="1" x14ac:dyDescent="0.25"/>
    <row r="441" ht="19.95" customHeight="1" x14ac:dyDescent="0.25"/>
    <row r="442" ht="19.95" customHeight="1" x14ac:dyDescent="0.25"/>
    <row r="443" ht="19.95" customHeight="1" x14ac:dyDescent="0.25"/>
    <row r="444" ht="19.95" customHeight="1" x14ac:dyDescent="0.25"/>
    <row r="445" ht="19.95" customHeight="1" x14ac:dyDescent="0.25"/>
    <row r="446" ht="19.95" customHeight="1" x14ac:dyDescent="0.25"/>
    <row r="447" ht="19.95" customHeight="1" x14ac:dyDescent="0.25"/>
    <row r="448" ht="19.95" customHeight="1" x14ac:dyDescent="0.25"/>
    <row r="449" ht="19.95" customHeight="1" x14ac:dyDescent="0.25"/>
    <row r="450" ht="19.95" customHeight="1" x14ac:dyDescent="0.25"/>
    <row r="451" ht="19.95" customHeight="1" x14ac:dyDescent="0.25"/>
    <row r="452" ht="19.95" customHeight="1" x14ac:dyDescent="0.25"/>
    <row r="453" ht="19.95" customHeight="1" x14ac:dyDescent="0.25"/>
    <row r="454" ht="19.95" customHeight="1" x14ac:dyDescent="0.25"/>
    <row r="455" ht="19.95" customHeight="1" x14ac:dyDescent="0.25"/>
    <row r="456" ht="19.95" customHeight="1" x14ac:dyDescent="0.25"/>
    <row r="457" ht="19.95" customHeight="1" x14ac:dyDescent="0.25"/>
    <row r="458" ht="19.95" customHeight="1" x14ac:dyDescent="0.25"/>
    <row r="459" ht="19.95" customHeight="1" x14ac:dyDescent="0.25"/>
    <row r="460" ht="19.95" customHeight="1" x14ac:dyDescent="0.25"/>
    <row r="461" ht="19.95" customHeight="1" x14ac:dyDescent="0.25"/>
    <row r="462" ht="19.95" customHeight="1" x14ac:dyDescent="0.25"/>
    <row r="463" ht="19.95" customHeight="1" x14ac:dyDescent="0.25"/>
    <row r="464" ht="19.95" customHeight="1" x14ac:dyDescent="0.25"/>
    <row r="465" ht="19.95" customHeight="1" x14ac:dyDescent="0.25"/>
    <row r="466" ht="19.95" customHeight="1" x14ac:dyDescent="0.25"/>
    <row r="467" ht="19.95" customHeight="1" x14ac:dyDescent="0.25"/>
    <row r="468" ht="19.95" customHeight="1" x14ac:dyDescent="0.25"/>
    <row r="469" ht="19.95" customHeight="1" x14ac:dyDescent="0.25"/>
    <row r="470" ht="19.95" customHeight="1" x14ac:dyDescent="0.25"/>
    <row r="471" ht="19.95" customHeight="1" x14ac:dyDescent="0.25"/>
    <row r="472" ht="19.95" customHeight="1" x14ac:dyDescent="0.25"/>
    <row r="473" ht="19.95" customHeight="1" x14ac:dyDescent="0.25"/>
    <row r="474" ht="19.95" customHeight="1" x14ac:dyDescent="0.25"/>
    <row r="475" ht="19.95" customHeight="1" x14ac:dyDescent="0.25"/>
    <row r="476" ht="19.95" customHeight="1" x14ac:dyDescent="0.25"/>
    <row r="477" ht="19.95" customHeight="1" x14ac:dyDescent="0.25"/>
    <row r="478" ht="19.95" customHeight="1" x14ac:dyDescent="0.25"/>
    <row r="479" ht="19.95" customHeight="1" x14ac:dyDescent="0.25"/>
    <row r="480" ht="19.95" customHeight="1" x14ac:dyDescent="0.25"/>
    <row r="481" ht="19.95" customHeight="1" x14ac:dyDescent="0.25"/>
    <row r="482" ht="19.95" customHeight="1" x14ac:dyDescent="0.25"/>
    <row r="483" ht="19.95" customHeight="1" x14ac:dyDescent="0.25"/>
    <row r="484" ht="19.95" customHeight="1" x14ac:dyDescent="0.25"/>
    <row r="485" ht="19.95" customHeight="1" x14ac:dyDescent="0.25"/>
    <row r="486" ht="19.95" customHeight="1" x14ac:dyDescent="0.25"/>
    <row r="487" ht="19.95" customHeight="1" x14ac:dyDescent="0.25"/>
    <row r="488" ht="19.95" customHeight="1" x14ac:dyDescent="0.25"/>
    <row r="489" ht="19.95" customHeight="1" x14ac:dyDescent="0.25"/>
    <row r="490" ht="19.95" customHeight="1" x14ac:dyDescent="0.25"/>
    <row r="491" ht="19.95" customHeight="1" x14ac:dyDescent="0.25"/>
    <row r="492" ht="19.95" customHeight="1" x14ac:dyDescent="0.25"/>
    <row r="493" ht="19.95" customHeight="1" x14ac:dyDescent="0.25"/>
    <row r="494" ht="19.95" customHeight="1" x14ac:dyDescent="0.25"/>
    <row r="495" ht="19.95" customHeight="1" x14ac:dyDescent="0.25"/>
    <row r="496" ht="19.95" customHeight="1" x14ac:dyDescent="0.25"/>
    <row r="497" ht="19.95" customHeight="1" x14ac:dyDescent="0.25"/>
    <row r="498" ht="19.95" customHeight="1" x14ac:dyDescent="0.25"/>
    <row r="499" ht="19.95" customHeight="1" x14ac:dyDescent="0.25"/>
    <row r="500" ht="19.95" customHeight="1" x14ac:dyDescent="0.25"/>
    <row r="501" ht="19.95" customHeight="1" x14ac:dyDescent="0.25"/>
    <row r="502" ht="19.95" customHeight="1" x14ac:dyDescent="0.25"/>
    <row r="503" ht="19.95" customHeight="1" x14ac:dyDescent="0.25"/>
    <row r="504" ht="19.95" customHeight="1" x14ac:dyDescent="0.25"/>
    <row r="505" ht="19.95" customHeight="1" x14ac:dyDescent="0.25"/>
    <row r="506" ht="19.95" customHeight="1" x14ac:dyDescent="0.25"/>
    <row r="507" ht="19.95" customHeight="1" x14ac:dyDescent="0.25"/>
    <row r="508" ht="19.95" customHeight="1" x14ac:dyDescent="0.25"/>
    <row r="509" ht="19.95" customHeight="1" x14ac:dyDescent="0.25"/>
    <row r="510" ht="19.95" customHeight="1" x14ac:dyDescent="0.25"/>
    <row r="511" ht="19.95" customHeight="1" x14ac:dyDescent="0.25"/>
    <row r="512" ht="19.95" customHeight="1" x14ac:dyDescent="0.25"/>
    <row r="513" ht="19.95" customHeight="1" x14ac:dyDescent="0.25"/>
    <row r="514" ht="19.95" customHeight="1" x14ac:dyDescent="0.25"/>
    <row r="515" ht="19.95" customHeight="1" x14ac:dyDescent="0.25"/>
    <row r="516" ht="19.95" customHeight="1" x14ac:dyDescent="0.25"/>
    <row r="517" ht="19.95" customHeight="1" x14ac:dyDescent="0.25"/>
    <row r="518" ht="19.95" customHeight="1" x14ac:dyDescent="0.25"/>
    <row r="519" ht="19.95" customHeight="1" x14ac:dyDescent="0.25"/>
    <row r="520" ht="19.95" customHeight="1" x14ac:dyDescent="0.25"/>
    <row r="521" ht="19.95" customHeight="1" x14ac:dyDescent="0.25"/>
    <row r="522" ht="19.95" customHeight="1" x14ac:dyDescent="0.25"/>
    <row r="523" ht="19.95" customHeight="1" x14ac:dyDescent="0.25"/>
    <row r="524" ht="19.95" customHeight="1" x14ac:dyDescent="0.25"/>
    <row r="525" ht="19.95" customHeight="1" x14ac:dyDescent="0.25"/>
    <row r="526" ht="19.95" customHeight="1" x14ac:dyDescent="0.25"/>
    <row r="527" ht="19.95" customHeight="1" x14ac:dyDescent="0.25"/>
    <row r="528" ht="19.95" customHeight="1" x14ac:dyDescent="0.25"/>
    <row r="529" ht="19.95" customHeight="1" x14ac:dyDescent="0.25"/>
    <row r="530" ht="19.95" customHeight="1" x14ac:dyDescent="0.25"/>
    <row r="531" ht="19.95" customHeight="1" x14ac:dyDescent="0.25"/>
    <row r="532" ht="19.95" customHeight="1" x14ac:dyDescent="0.25"/>
    <row r="533" ht="19.95" customHeight="1" x14ac:dyDescent="0.25"/>
    <row r="534" ht="19.95" customHeight="1" x14ac:dyDescent="0.25"/>
    <row r="535" ht="19.95" customHeight="1" x14ac:dyDescent="0.25"/>
    <row r="536" ht="19.95" customHeight="1" x14ac:dyDescent="0.25"/>
    <row r="537" ht="19.95" customHeight="1" x14ac:dyDescent="0.25"/>
    <row r="538" ht="19.95" customHeight="1" x14ac:dyDescent="0.25"/>
    <row r="539" ht="19.95" customHeight="1" x14ac:dyDescent="0.25"/>
    <row r="540" ht="19.95" customHeight="1" x14ac:dyDescent="0.25"/>
    <row r="541" ht="19.95" customHeight="1" x14ac:dyDescent="0.25"/>
    <row r="542" ht="19.95" customHeight="1" x14ac:dyDescent="0.25"/>
    <row r="543" ht="19.95" customHeight="1" x14ac:dyDescent="0.25"/>
    <row r="544" ht="19.95" customHeight="1" x14ac:dyDescent="0.25"/>
    <row r="545" ht="19.95" customHeight="1" x14ac:dyDescent="0.25"/>
    <row r="546" ht="19.95" customHeight="1" x14ac:dyDescent="0.25"/>
    <row r="547" ht="19.95" customHeight="1" x14ac:dyDescent="0.25"/>
    <row r="548" ht="19.95" customHeight="1" x14ac:dyDescent="0.25"/>
    <row r="549" ht="19.95" customHeight="1" x14ac:dyDescent="0.25"/>
    <row r="550" ht="19.95" customHeight="1" x14ac:dyDescent="0.25"/>
    <row r="551" ht="19.95" customHeight="1" x14ac:dyDescent="0.25"/>
    <row r="552" ht="19.95" customHeight="1" x14ac:dyDescent="0.25"/>
    <row r="553" ht="19.95" customHeight="1" x14ac:dyDescent="0.25"/>
    <row r="554" ht="19.95" customHeight="1" x14ac:dyDescent="0.25"/>
    <row r="555" ht="19.95" customHeight="1" x14ac:dyDescent="0.25"/>
    <row r="556" ht="19.95" customHeight="1" x14ac:dyDescent="0.25"/>
    <row r="557" ht="19.95" customHeight="1" x14ac:dyDescent="0.25"/>
    <row r="558" ht="19.95" customHeight="1" x14ac:dyDescent="0.25"/>
    <row r="559" ht="19.95" customHeight="1" x14ac:dyDescent="0.25"/>
    <row r="560" ht="19.95" customHeight="1" x14ac:dyDescent="0.25"/>
    <row r="561" ht="19.95" customHeight="1" x14ac:dyDescent="0.25"/>
    <row r="562" ht="19.95" customHeight="1" x14ac:dyDescent="0.25"/>
    <row r="563" ht="19.95" customHeight="1" x14ac:dyDescent="0.25"/>
    <row r="564" ht="19.95" customHeight="1" x14ac:dyDescent="0.25"/>
    <row r="565" ht="19.95" customHeight="1" x14ac:dyDescent="0.25"/>
    <row r="566" ht="19.95" customHeight="1" x14ac:dyDescent="0.25"/>
    <row r="567" ht="19.95" customHeight="1" x14ac:dyDescent="0.25"/>
    <row r="568" ht="19.95" customHeight="1" x14ac:dyDescent="0.25"/>
    <row r="569" ht="19.95" customHeight="1" x14ac:dyDescent="0.25"/>
    <row r="570" ht="19.95" customHeight="1" x14ac:dyDescent="0.25"/>
    <row r="571" ht="19.95" customHeight="1" x14ac:dyDescent="0.25"/>
    <row r="572" ht="19.95" customHeight="1" x14ac:dyDescent="0.25"/>
    <row r="573" ht="19.95" customHeight="1" x14ac:dyDescent="0.25"/>
    <row r="574" ht="19.95" customHeight="1" x14ac:dyDescent="0.25"/>
    <row r="575" ht="19.95" customHeight="1" x14ac:dyDescent="0.25"/>
    <row r="576" ht="19.95" customHeight="1" x14ac:dyDescent="0.25"/>
    <row r="577" ht="19.95" customHeight="1" x14ac:dyDescent="0.25"/>
    <row r="578" ht="19.95" customHeight="1" x14ac:dyDescent="0.25"/>
    <row r="579" ht="19.95" customHeight="1" x14ac:dyDescent="0.25"/>
    <row r="580" ht="19.95" customHeight="1" x14ac:dyDescent="0.25"/>
    <row r="581" ht="19.95" customHeight="1" x14ac:dyDescent="0.25"/>
    <row r="582" ht="19.95" customHeight="1" x14ac:dyDescent="0.25"/>
    <row r="583" ht="19.95" customHeight="1" x14ac:dyDescent="0.25"/>
    <row r="584" ht="19.95" customHeight="1" x14ac:dyDescent="0.25"/>
    <row r="585" ht="19.95" customHeight="1" x14ac:dyDescent="0.25"/>
    <row r="586" ht="19.95" customHeight="1" x14ac:dyDescent="0.25"/>
    <row r="587" ht="19.95" customHeight="1" x14ac:dyDescent="0.25"/>
    <row r="588" ht="19.95" customHeight="1" x14ac:dyDescent="0.25"/>
    <row r="589" ht="19.95" customHeight="1" x14ac:dyDescent="0.25"/>
    <row r="590" ht="19.95" customHeight="1" x14ac:dyDescent="0.25"/>
    <row r="591" ht="19.95" customHeight="1" x14ac:dyDescent="0.25"/>
    <row r="592" ht="19.95" customHeight="1" x14ac:dyDescent="0.25"/>
    <row r="593" ht="19.95" customHeight="1" x14ac:dyDescent="0.25"/>
    <row r="594" ht="19.95" customHeight="1" x14ac:dyDescent="0.25"/>
    <row r="595" ht="19.95" customHeight="1" x14ac:dyDescent="0.25"/>
    <row r="596" ht="19.95" customHeight="1" x14ac:dyDescent="0.25"/>
    <row r="597" ht="19.95" customHeight="1" x14ac:dyDescent="0.25"/>
    <row r="598" ht="19.95" customHeight="1" x14ac:dyDescent="0.25"/>
    <row r="599" ht="19.95" customHeight="1" x14ac:dyDescent="0.25"/>
    <row r="600" ht="19.95" customHeight="1" x14ac:dyDescent="0.25"/>
    <row r="601" ht="19.95" customHeight="1" x14ac:dyDescent="0.25"/>
    <row r="602" ht="19.95" customHeight="1" x14ac:dyDescent="0.25"/>
    <row r="603" ht="19.95" customHeight="1" x14ac:dyDescent="0.25"/>
    <row r="604" ht="19.95" customHeight="1" x14ac:dyDescent="0.25"/>
    <row r="605" ht="19.95" customHeight="1" x14ac:dyDescent="0.25"/>
    <row r="606" ht="19.95" customHeight="1" x14ac:dyDescent="0.25"/>
    <row r="607" ht="19.95" customHeight="1" x14ac:dyDescent="0.25"/>
    <row r="608" ht="19.95" customHeight="1" x14ac:dyDescent="0.25"/>
    <row r="609" ht="19.95" customHeight="1" x14ac:dyDescent="0.25"/>
    <row r="610" ht="19.95" customHeight="1" x14ac:dyDescent="0.25"/>
    <row r="611" ht="19.95" customHeight="1" x14ac:dyDescent="0.25"/>
    <row r="612" ht="19.95" customHeight="1" x14ac:dyDescent="0.25"/>
    <row r="613" ht="19.95" customHeight="1" x14ac:dyDescent="0.25"/>
    <row r="614" ht="19.95" customHeight="1" x14ac:dyDescent="0.25"/>
    <row r="615" ht="19.95" customHeight="1" x14ac:dyDescent="0.25"/>
    <row r="616" ht="19.95" customHeight="1" x14ac:dyDescent="0.25"/>
    <row r="617" ht="19.95" customHeight="1" x14ac:dyDescent="0.25"/>
    <row r="618" ht="19.95" customHeight="1" x14ac:dyDescent="0.25"/>
    <row r="619" ht="19.95" customHeight="1" x14ac:dyDescent="0.25"/>
    <row r="620" ht="19.95" customHeight="1" x14ac:dyDescent="0.25"/>
    <row r="621" ht="19.95" customHeight="1" x14ac:dyDescent="0.25"/>
    <row r="622" ht="19.95" customHeight="1" x14ac:dyDescent="0.25"/>
    <row r="623" ht="19.95" customHeight="1" x14ac:dyDescent="0.25"/>
    <row r="624" ht="19.95" customHeight="1" x14ac:dyDescent="0.25"/>
    <row r="625" ht="19.95" customHeight="1" x14ac:dyDescent="0.25"/>
    <row r="626" ht="19.95" customHeight="1" x14ac:dyDescent="0.25"/>
    <row r="627" ht="19.95" customHeight="1" x14ac:dyDescent="0.25"/>
    <row r="628" ht="19.95" customHeight="1" x14ac:dyDescent="0.25"/>
    <row r="629" ht="19.95" customHeight="1" x14ac:dyDescent="0.25"/>
    <row r="630" ht="19.95" customHeight="1" x14ac:dyDescent="0.25"/>
    <row r="631" ht="19.95" customHeight="1" x14ac:dyDescent="0.25"/>
    <row r="632" ht="19.95" customHeight="1" x14ac:dyDescent="0.25"/>
    <row r="633" ht="19.95" customHeight="1" x14ac:dyDescent="0.25"/>
    <row r="634" ht="19.95" customHeight="1" x14ac:dyDescent="0.25"/>
    <row r="635" ht="19.95" customHeight="1" x14ac:dyDescent="0.25"/>
    <row r="636" ht="19.95" customHeight="1" x14ac:dyDescent="0.25"/>
    <row r="637" ht="19.95" customHeight="1" x14ac:dyDescent="0.25"/>
    <row r="638" ht="19.95" customHeight="1" x14ac:dyDescent="0.25"/>
    <row r="639" ht="19.95" customHeight="1" x14ac:dyDescent="0.25"/>
    <row r="640" ht="19.95" customHeight="1" x14ac:dyDescent="0.25"/>
    <row r="641" ht="19.95" customHeight="1" x14ac:dyDescent="0.25"/>
    <row r="642" ht="19.95" customHeight="1" x14ac:dyDescent="0.25"/>
    <row r="643" ht="19.95" customHeight="1" x14ac:dyDescent="0.25"/>
    <row r="644" ht="19.95" customHeight="1" x14ac:dyDescent="0.25"/>
    <row r="645" ht="19.95" customHeight="1" x14ac:dyDescent="0.25"/>
    <row r="646" ht="19.95" customHeight="1" x14ac:dyDescent="0.25"/>
    <row r="647" ht="19.95" customHeight="1" x14ac:dyDescent="0.25"/>
    <row r="648" ht="19.95" customHeight="1" x14ac:dyDescent="0.25"/>
    <row r="649" ht="19.95" customHeight="1" x14ac:dyDescent="0.25"/>
    <row r="650" ht="19.95" customHeight="1" x14ac:dyDescent="0.25"/>
    <row r="651" ht="19.95" customHeight="1" x14ac:dyDescent="0.25"/>
    <row r="652" ht="19.95" customHeight="1" x14ac:dyDescent="0.25"/>
    <row r="653" ht="19.95" customHeight="1" x14ac:dyDescent="0.25"/>
    <row r="654" ht="19.95" customHeight="1" x14ac:dyDescent="0.25"/>
    <row r="655" ht="19.95" customHeight="1" x14ac:dyDescent="0.25"/>
    <row r="656" ht="19.95" customHeight="1" x14ac:dyDescent="0.25"/>
    <row r="657" ht="19.95" customHeight="1" x14ac:dyDescent="0.25"/>
    <row r="658" ht="19.95" customHeight="1" x14ac:dyDescent="0.25"/>
    <row r="659" ht="19.95" customHeight="1" x14ac:dyDescent="0.25"/>
    <row r="660" ht="19.95" customHeight="1" x14ac:dyDescent="0.25"/>
    <row r="661" ht="19.95" customHeight="1" x14ac:dyDescent="0.25"/>
    <row r="662" ht="19.95" customHeight="1" x14ac:dyDescent="0.25"/>
    <row r="663" ht="19.95" customHeight="1" x14ac:dyDescent="0.25"/>
    <row r="664" ht="19.95" customHeight="1" x14ac:dyDescent="0.25"/>
    <row r="665" ht="19.95" customHeight="1" x14ac:dyDescent="0.25"/>
    <row r="666" ht="19.95" customHeight="1" x14ac:dyDescent="0.25"/>
    <row r="667" ht="19.95" customHeight="1" x14ac:dyDescent="0.25"/>
    <row r="668" ht="19.95" customHeight="1" x14ac:dyDescent="0.25"/>
    <row r="669" ht="19.95" customHeight="1" x14ac:dyDescent="0.25"/>
    <row r="670" ht="19.95" customHeight="1" x14ac:dyDescent="0.25"/>
    <row r="671" ht="19.95" customHeight="1" x14ac:dyDescent="0.25"/>
    <row r="672" ht="19.95" customHeight="1" x14ac:dyDescent="0.25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7"/>
  <sheetViews>
    <sheetView topLeftCell="A7" zoomScale="115" zoomScaleNormal="115" workbookViewId="0">
      <selection activeCell="A4" sqref="A4:XFD4"/>
    </sheetView>
  </sheetViews>
  <sheetFormatPr defaultColWidth="8.8984375" defaultRowHeight="13.8" x14ac:dyDescent="0.25"/>
  <cols>
    <col min="1" max="10" width="15.796875" style="15" customWidth="1"/>
    <col min="11" max="18" width="20.796875" style="15" customWidth="1"/>
    <col min="19" max="16384" width="8.8984375" style="15"/>
  </cols>
  <sheetData>
    <row r="1" spans="1:9" ht="19.95" customHeight="1" x14ac:dyDescent="0.4">
      <c r="A1" s="19" t="s">
        <v>52</v>
      </c>
      <c r="B1" s="19"/>
    </row>
    <row r="2" spans="1:9" ht="19.95" customHeight="1" x14ac:dyDescent="0.3">
      <c r="A2" s="29" t="s">
        <v>57</v>
      </c>
      <c r="B2" s="29" t="s">
        <v>53</v>
      </c>
      <c r="C2" s="29" t="s">
        <v>54</v>
      </c>
      <c r="D2" s="29" t="s">
        <v>55</v>
      </c>
      <c r="E2" s="29" t="s">
        <v>56</v>
      </c>
      <c r="F2" s="29" t="s">
        <v>58</v>
      </c>
      <c r="G2" s="29" t="s">
        <v>59</v>
      </c>
    </row>
    <row r="3" spans="1:9" ht="19.95" customHeight="1" x14ac:dyDescent="0.25">
      <c r="A3" s="15" t="s">
        <v>60</v>
      </c>
      <c r="B3" s="31">
        <f>AVERAGE('Raw data'!B2:B366)</f>
        <v>12148.156164383561</v>
      </c>
      <c r="C3" s="40">
        <f>MEDIAN('Raw data'!B2:B366)</f>
        <v>11641</v>
      </c>
      <c r="D3" s="40">
        <f>MIN('Raw data'!B2:B366)</f>
        <v>2562</v>
      </c>
      <c r="E3" s="40">
        <f>MAX('Raw data'!B2:B366)</f>
        <v>16675</v>
      </c>
      <c r="F3" s="31">
        <f>_xlfn.STDEV.S('Raw data'!B2:B366)</f>
        <v>1854.6796886588575</v>
      </c>
      <c r="G3" s="31">
        <f>_xlfn.STDEV.S('Raw data'!B2:B366)/AVERAGE('Raw data'!B2:B366)*100</f>
        <v>15.267170289566081</v>
      </c>
    </row>
    <row r="4" spans="1:9" ht="19.95" customHeight="1" x14ac:dyDescent="0.25">
      <c r="A4" s="15" t="s">
        <v>61</v>
      </c>
      <c r="B4" s="31">
        <f>AVERAGE('Raw data'!G2:G366)</f>
        <v>2127.2219178082191</v>
      </c>
      <c r="C4" s="31">
        <f>MEDIAN('Raw data'!G2:G366)</f>
        <v>2134</v>
      </c>
      <c r="D4" s="31">
        <f>MIN('Raw data'!G2:G366)</f>
        <v>1700</v>
      </c>
      <c r="E4" s="31">
        <f>MAX('Raw data'!G2:G366)</f>
        <v>2485</v>
      </c>
      <c r="F4" s="31">
        <f>_xlfn.STDEV.S('Raw data'!G2:G366)</f>
        <v>214.28570986502046</v>
      </c>
      <c r="G4" s="31">
        <f>_xlfn.STDEV.S('Raw data'!G2:G366)/AVERAGE('Raw data'!G2:G366)*100</f>
        <v>10.0735004689031</v>
      </c>
    </row>
    <row r="5" spans="1:9" ht="19.95" customHeight="1" x14ac:dyDescent="0.25">
      <c r="A5" s="15" t="s">
        <v>62</v>
      </c>
      <c r="B5" s="31">
        <f>AVERAGE('Raw data'!I2:I366)</f>
        <v>101.17793729644448</v>
      </c>
      <c r="C5" s="31">
        <f>MEDIAN('Raw data'!I2:I366)</f>
        <v>100.95911155981827</v>
      </c>
      <c r="D5" s="31">
        <f>MIN('Raw data'!I2:I366)</f>
        <v>86.008230452674894</v>
      </c>
      <c r="E5" s="31">
        <f>MAX('Raw data'!I2:I366)</f>
        <v>114.68472280998731</v>
      </c>
      <c r="F5" s="31">
        <f>_xlfn.STDEV.S('Raw data'!I2:I366)</f>
        <v>6.1528657072908084</v>
      </c>
      <c r="G5" s="40">
        <f>_xlfn.STDEV.S('Raw data'!I2:I366)/AVERAGE('Raw data'!I2:I366)*100</f>
        <v>6.0812326004070734</v>
      </c>
    </row>
    <row r="6" spans="1:9" ht="19.95" customHeight="1" x14ac:dyDescent="0.25">
      <c r="A6" s="15" t="s">
        <v>63</v>
      </c>
      <c r="B6" s="31">
        <f>AVERAGE('Raw data'!J2:J366)</f>
        <v>3.5161917808219156</v>
      </c>
      <c r="C6" s="31">
        <f>MEDIAN('Raw data'!J2:J366)</f>
        <v>3.3</v>
      </c>
      <c r="D6" s="31">
        <f>MIN('Raw data'!J2:J366)</f>
        <v>1</v>
      </c>
      <c r="E6" s="31">
        <f>MAX('Raw data'!J2:J366)</f>
        <v>7</v>
      </c>
      <c r="F6" s="31">
        <f>_xlfn.STDEV.S('Raw data'!J2:J366)</f>
        <v>0.88027157175621806</v>
      </c>
      <c r="G6" s="31">
        <f>_xlfn.STDEV.S('Raw data'!J2:J366)/AVERAGE('Raw data'!J2:J366)*100</f>
        <v>25.034799767106364</v>
      </c>
    </row>
    <row r="7" spans="1:9" ht="19.95" customHeight="1" x14ac:dyDescent="0.25">
      <c r="A7" s="15" t="s">
        <v>64</v>
      </c>
      <c r="B7" s="31">
        <f>AVERAGE('Raw data'!L2:L366)</f>
        <v>0.59284931506849359</v>
      </c>
      <c r="C7" s="31">
        <f>MEDIAN('Raw data'!L2:L366)</f>
        <v>0.6</v>
      </c>
      <c r="D7" s="31">
        <f>MIN('Raw data'!L2:L366)</f>
        <v>0.27</v>
      </c>
      <c r="E7" s="31">
        <f>MAX('Raw data'!L2:L366)</f>
        <v>1</v>
      </c>
      <c r="F7" s="31">
        <f>_xlfn.STDEV.S('Raw data'!L2:L366)</f>
        <v>0.18842345279009837</v>
      </c>
      <c r="G7" s="31">
        <f>_xlfn.STDEV.S('Raw data'!L2:L366)/AVERAGE('Raw data'!L2:L366)*100</f>
        <v>31.78268878801509</v>
      </c>
    </row>
    <row r="8" spans="1:9" ht="19.95" customHeight="1" x14ac:dyDescent="0.25">
      <c r="A8" s="15" t="s">
        <v>65</v>
      </c>
      <c r="B8" s="31">
        <f>AVERAGE('Raw data'!N2:N366)</f>
        <v>11.972054794520544</v>
      </c>
      <c r="C8" s="40">
        <f>MEDIAN('Raw data'!N2:N366)</f>
        <v>12</v>
      </c>
      <c r="D8" s="40">
        <f>MIN('Raw data'!N2:N366)</f>
        <v>6</v>
      </c>
      <c r="E8" s="31">
        <f>MAX('Raw data'!N2:N366)</f>
        <v>16.5</v>
      </c>
      <c r="F8" s="31">
        <f>_xlfn.STDEV.S('Raw data'!N2:N366)</f>
        <v>2.3892357960856749</v>
      </c>
      <c r="G8" s="31">
        <f>_xlfn.STDEV.S('Raw data'!N2:N366)/AVERAGE('Raw data'!N2:N366)*100</f>
        <v>19.956772977510909</v>
      </c>
    </row>
    <row r="9" spans="1:9" ht="19.95" customHeight="1" x14ac:dyDescent="0.25">
      <c r="A9" s="15" t="s">
        <v>66</v>
      </c>
      <c r="B9" s="31">
        <f>AVERAGE('Raw data'!P2:P366)</f>
        <v>34.770410958904122</v>
      </c>
      <c r="C9" s="31">
        <f>MEDIAN('Raw data'!P2:P366)</f>
        <v>35</v>
      </c>
      <c r="D9" s="31">
        <f>MIN('Raw data'!P2:P366)</f>
        <v>20</v>
      </c>
      <c r="E9" s="31">
        <f>MAX('Raw data'!P2:P366)</f>
        <v>50</v>
      </c>
      <c r="F9" s="31">
        <f>_xlfn.STDEV.S('Raw data'!P2:P366)</f>
        <v>5.6500949224633263</v>
      </c>
      <c r="G9" s="31">
        <f>_xlfn.STDEV.S('Raw data'!P2:P366)/AVERAGE('Raw data'!P2:P366)*100</f>
        <v>16.249721434530333</v>
      </c>
    </row>
    <row r="10" spans="1:9" ht="19.95" customHeight="1" x14ac:dyDescent="0.25">
      <c r="A10" s="15" t="s">
        <v>67</v>
      </c>
      <c r="B10" s="31">
        <f>AVERAGE('Raw data'!R2:R366)</f>
        <v>8.8876712328767091</v>
      </c>
      <c r="C10" s="31">
        <f>MEDIAN('Raw data'!R2:R366)</f>
        <v>9</v>
      </c>
      <c r="D10" s="31">
        <f>MIN('Raw data'!R2:R366)</f>
        <v>5.5</v>
      </c>
      <c r="E10" s="31">
        <f>MAX('Raw data'!R2:R366)</f>
        <v>14</v>
      </c>
      <c r="F10" s="31">
        <f>_xlfn.STDEV.S('Raw data'!R2:R366)</f>
        <v>1.4913620521979729</v>
      </c>
      <c r="G10" s="31">
        <f>_xlfn.STDEV.S('Raw data'!R2:R366)/AVERAGE('Raw data'!R2:R366)*100</f>
        <v>16.780121734040083</v>
      </c>
    </row>
    <row r="11" spans="1:9" ht="19.95" customHeight="1" x14ac:dyDescent="0.25"/>
    <row r="12" spans="1:9" ht="19.95" customHeight="1" x14ac:dyDescent="0.25"/>
    <row r="13" spans="1:9" ht="19.95" customHeight="1" x14ac:dyDescent="0.3">
      <c r="A13" s="20" t="s">
        <v>68</v>
      </c>
      <c r="B13" s="21"/>
      <c r="H13" s="22"/>
      <c r="I13" s="22"/>
    </row>
    <row r="14" spans="1:9" ht="19.95" customHeight="1" x14ac:dyDescent="0.3">
      <c r="A14" s="29"/>
      <c r="B14" s="29" t="s">
        <v>60</v>
      </c>
      <c r="C14" s="29" t="s">
        <v>61</v>
      </c>
      <c r="D14" s="29" t="s">
        <v>62</v>
      </c>
      <c r="E14" s="29" t="s">
        <v>63</v>
      </c>
      <c r="F14" s="29" t="s">
        <v>69</v>
      </c>
      <c r="G14" s="30" t="s">
        <v>70</v>
      </c>
      <c r="H14" s="29" t="s">
        <v>66</v>
      </c>
      <c r="I14" s="29" t="s">
        <v>67</v>
      </c>
    </row>
    <row r="15" spans="1:9" ht="19.95" customHeight="1" x14ac:dyDescent="0.25">
      <c r="A15" s="15" t="s">
        <v>60</v>
      </c>
      <c r="B15" s="15">
        <v>1</v>
      </c>
      <c r="C15" s="31">
        <f>CORREL('Raw data'!B2:B366,'Raw data'!G2:G366)</f>
        <v>-0.47845963127267904</v>
      </c>
      <c r="D15" s="31">
        <f>CORREL('Raw data'!B2:B366,'Raw data'!I2:I366)</f>
        <v>-0.21828616191108094</v>
      </c>
      <c r="E15" s="31">
        <f>CORREL('Raw data'!B2:B366,'Raw data'!J2:J366)</f>
        <v>-0.15450501095533628</v>
      </c>
      <c r="F15" s="31">
        <f>CORREL('Raw data'!B2:B366,'Raw data'!L2:L366)</f>
        <v>-6.214262681317937E-2</v>
      </c>
      <c r="G15" s="31">
        <f>CORREL('Raw data'!B2:B366,'Raw data'!N2:N366)</f>
        <v>-0.19187247952599304</v>
      </c>
      <c r="H15" s="31">
        <f>CORREL('Raw data'!B2:B366,'Raw data'!P2:P366)</f>
        <v>-0.16659435077815676</v>
      </c>
      <c r="I15" s="31">
        <f>CORREL('Raw data'!B2:B366,'Raw data'!R2:R366)</f>
        <v>-0.17721237057049316</v>
      </c>
    </row>
    <row r="16" spans="1:9" ht="19.95" customHeight="1" x14ac:dyDescent="0.25">
      <c r="A16" s="15" t="s">
        <v>61</v>
      </c>
      <c r="C16" s="15">
        <v>1</v>
      </c>
      <c r="D16" s="31">
        <f>CORREL('Raw data'!G2:G366,'Raw data'!I2:I366)</f>
        <v>0.22463387158199524</v>
      </c>
      <c r="E16" s="31">
        <f>CORREL('Raw data'!G2:G366,'Raw data'!J2:J366)</f>
        <v>7.7416501935480928E-2</v>
      </c>
      <c r="F16" s="31">
        <f>CORREL('Raw data'!G2:G366,'Raw data'!L2:L366)</f>
        <v>0.12052566567980053</v>
      </c>
      <c r="G16" s="31">
        <f>CORREL('Raw data'!G2:G366,'Raw data'!N2:N366)</f>
        <v>0.17709001291281132</v>
      </c>
      <c r="H16" s="31">
        <f>CORREL('Raw data'!G2:G366,'Raw data'!P2:P366)</f>
        <v>0.13711228224675137</v>
      </c>
      <c r="I16" s="31">
        <f>CORREL('Raw data'!G2:G366,'Raw data'!R2:R366)</f>
        <v>0.17566800954930714</v>
      </c>
    </row>
    <row r="17" spans="1:9" ht="19.95" customHeight="1" x14ac:dyDescent="0.25">
      <c r="A17" s="15" t="s">
        <v>62</v>
      </c>
      <c r="D17" s="15">
        <v>1</v>
      </c>
      <c r="E17" s="31">
        <f>CORREL('Raw data'!I2:I366,'Raw data'!J2:J366)</f>
        <v>3.9828173401874238E-3</v>
      </c>
      <c r="F17" s="31">
        <f>CORREL('Raw data'!I2:I366,'Raw data'!L2:L366)</f>
        <v>8.2612128006678304E-2</v>
      </c>
      <c r="G17" s="31">
        <f>CORREL('Raw data'!I2:I366,'Raw data'!N2:N366)</f>
        <v>0.63970961170708585</v>
      </c>
      <c r="H17" s="31">
        <f>CORREL('Raw data'!I2:I366,'Raw data'!P2:P366)</f>
        <v>0.5517740878408891</v>
      </c>
      <c r="I17" s="31">
        <f>CORREL('Raw data'!I2:I366,'Raw data'!R2:R366)</f>
        <v>0.53460750391631895</v>
      </c>
    </row>
    <row r="18" spans="1:9" ht="19.95" customHeight="1" x14ac:dyDescent="0.25">
      <c r="A18" s="15" t="s">
        <v>63</v>
      </c>
      <c r="E18" s="15">
        <v>1</v>
      </c>
      <c r="F18" s="31">
        <f>CORREL('Raw data'!J2:J366,'Raw data'!L2:L366)</f>
        <v>2.3351949338812187E-2</v>
      </c>
      <c r="G18" s="31">
        <f>CORREL('Raw data'!J2:J366,'Raw data'!N2:N366)</f>
        <v>9.46973677379227E-2</v>
      </c>
      <c r="H18" s="31">
        <f>CORREL('Raw data'!J2:J366,'Raw data'!P2:P366)</f>
        <v>9.5230978594321225E-2</v>
      </c>
      <c r="I18" s="31">
        <f>CORREL('Raw data'!J2:J366,'Raw data'!R2:R366)</f>
        <v>6.7320613188800837E-2</v>
      </c>
    </row>
    <row r="19" spans="1:9" ht="19.95" customHeight="1" x14ac:dyDescent="0.25">
      <c r="A19" s="15" t="s">
        <v>64</v>
      </c>
      <c r="F19" s="15">
        <v>1</v>
      </c>
      <c r="G19" s="31">
        <f>CORREL('Raw data'!L2:L366,'Raw data'!N2:N366)</f>
        <v>6.9672122919895454E-2</v>
      </c>
      <c r="H19" s="31">
        <f>CORREL('Raw data'!L2:L366,'Raw data'!P2:P366)</f>
        <v>2.8109061897232314E-2</v>
      </c>
      <c r="I19" s="31">
        <f>CORREL('Raw data'!L2:L366,'Raw data'!R2:R366)</f>
        <v>6.3271354052598663E-2</v>
      </c>
    </row>
    <row r="20" spans="1:9" ht="19.95" customHeight="1" x14ac:dyDescent="0.25">
      <c r="A20" s="15" t="s">
        <v>65</v>
      </c>
      <c r="G20" s="15">
        <v>1</v>
      </c>
      <c r="H20" s="31">
        <f>CORREL('Raw data'!N2:N366,'Raw data'!P2:P366)</f>
        <v>0.79995528484026479</v>
      </c>
      <c r="I20" s="31">
        <f>CORREL('Raw data'!N2:N366,'Raw data'!R2:R366)</f>
        <v>0.80956496809516676</v>
      </c>
    </row>
    <row r="21" spans="1:9" ht="19.95" customHeight="1" x14ac:dyDescent="0.25">
      <c r="A21" s="15" t="s">
        <v>66</v>
      </c>
      <c r="H21" s="15">
        <v>1</v>
      </c>
      <c r="I21" s="31">
        <f>CORREL('Raw data'!P2:P366,'Raw data'!R2:R366)</f>
        <v>0.66701411822551304</v>
      </c>
    </row>
    <row r="22" spans="1:9" ht="19.95" customHeight="1" x14ac:dyDescent="0.25">
      <c r="A22" s="15" t="s">
        <v>67</v>
      </c>
      <c r="I22" s="15">
        <v>1</v>
      </c>
    </row>
    <row r="23" spans="1:9" ht="19.95" customHeight="1" x14ac:dyDescent="0.25"/>
    <row r="24" spans="1:9" ht="19.95" customHeight="1" x14ac:dyDescent="0.25"/>
    <row r="25" spans="1:9" ht="19.95" customHeight="1" x14ac:dyDescent="0.25"/>
    <row r="26" spans="1:9" ht="19.95" customHeight="1" x14ac:dyDescent="0.25"/>
    <row r="27" spans="1:9" ht="19.95" customHeight="1" x14ac:dyDescent="0.25"/>
    <row r="28" spans="1:9" ht="19.95" customHeight="1" x14ac:dyDescent="0.25"/>
    <row r="29" spans="1:9" ht="19.95" customHeight="1" x14ac:dyDescent="0.25"/>
    <row r="30" spans="1:9" ht="19.95" customHeight="1" x14ac:dyDescent="0.25"/>
    <row r="31" spans="1:9" ht="19.95" customHeight="1" x14ac:dyDescent="0.25"/>
    <row r="32" spans="1:9" ht="19.95" customHeight="1" x14ac:dyDescent="0.25"/>
    <row r="33" ht="19.95" customHeight="1" x14ac:dyDescent="0.25"/>
    <row r="34" ht="19.95" customHeight="1" x14ac:dyDescent="0.25"/>
    <row r="35" ht="19.95" customHeight="1" x14ac:dyDescent="0.25"/>
    <row r="36" ht="19.95" customHeight="1" x14ac:dyDescent="0.25"/>
    <row r="37" ht="19.95" customHeight="1" x14ac:dyDescent="0.25"/>
    <row r="38" ht="19.95" customHeight="1" x14ac:dyDescent="0.25"/>
    <row r="39" ht="19.95" customHeight="1" x14ac:dyDescent="0.25"/>
    <row r="40" ht="19.95" customHeight="1" x14ac:dyDescent="0.25"/>
    <row r="41" ht="19.95" customHeight="1" x14ac:dyDescent="0.25"/>
    <row r="42" ht="19.95" customHeight="1" x14ac:dyDescent="0.25"/>
    <row r="43" ht="19.95" customHeight="1" x14ac:dyDescent="0.25"/>
    <row r="44" ht="19.95" customHeight="1" x14ac:dyDescent="0.25"/>
    <row r="45" ht="19.95" customHeight="1" x14ac:dyDescent="0.25"/>
    <row r="46" ht="19.95" customHeight="1" x14ac:dyDescent="0.25"/>
    <row r="47" ht="19.95" customHeight="1" x14ac:dyDescent="0.25"/>
    <row r="48" ht="19.95" customHeight="1" x14ac:dyDescent="0.25"/>
    <row r="49" ht="19.95" customHeight="1" x14ac:dyDescent="0.25"/>
    <row r="50" ht="19.95" customHeight="1" x14ac:dyDescent="0.25"/>
    <row r="51" ht="19.95" customHeight="1" x14ac:dyDescent="0.25"/>
    <row r="52" ht="19.95" customHeight="1" x14ac:dyDescent="0.25"/>
    <row r="53" ht="19.95" customHeight="1" x14ac:dyDescent="0.25"/>
    <row r="54" ht="19.95" customHeight="1" x14ac:dyDescent="0.25"/>
    <row r="55" ht="19.95" customHeight="1" x14ac:dyDescent="0.25"/>
    <row r="56" ht="19.95" customHeight="1" x14ac:dyDescent="0.25"/>
    <row r="57" ht="19.95" customHeight="1" x14ac:dyDescent="0.25"/>
  </sheetData>
  <conditionalFormatting sqref="I15:I22 H15:H21 G15:G20 F15:F19 E15:E18 D15:D17 C15:C16 B15">
    <cfRule type="colorScale" priority="1">
      <colorScale>
        <cfvo type="num" val="-1"/>
        <cfvo type="num" val="0"/>
        <cfvo type="num" val="1"/>
        <color rgb="FFFF0000"/>
        <color rgb="FFFFFF00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5"/>
  <sheetViews>
    <sheetView topLeftCell="L1" zoomScale="85" zoomScaleNormal="85" workbookViewId="0">
      <pane ySplit="3" topLeftCell="A4" activePane="bottomLeft" state="frozen"/>
      <selection pane="bottomLeft" activeCell="O10" sqref="O10"/>
    </sheetView>
  </sheetViews>
  <sheetFormatPr defaultColWidth="20.796875" defaultRowHeight="19.95" customHeight="1" x14ac:dyDescent="0.25"/>
  <cols>
    <col min="1" max="1" width="7.3984375" style="15" customWidth="1"/>
    <col min="2" max="2" width="23" style="15" customWidth="1"/>
    <col min="3" max="3" width="31.09765625" style="15" customWidth="1"/>
    <col min="4" max="4" width="15.8984375" style="15" customWidth="1"/>
    <col min="5" max="5" width="16.19921875" style="15" customWidth="1"/>
    <col min="6" max="6" width="20.296875" style="15" customWidth="1"/>
    <col min="7" max="7" width="22.59765625" style="15" customWidth="1"/>
    <col min="8" max="8" width="20.796875" style="15"/>
    <col min="9" max="9" width="46.59765625" style="15" customWidth="1"/>
    <col min="10" max="13" width="20.796875" style="15"/>
    <col min="14" max="14" width="22.09765625" style="15" customWidth="1"/>
    <col min="15" max="17" width="20.796875" style="15"/>
    <col min="18" max="18" width="23.19921875" style="15" customWidth="1"/>
    <col min="19" max="19" width="92.69921875" style="15" customWidth="1"/>
    <col min="20" max="20" width="20.796875" style="15" customWidth="1"/>
    <col min="21" max="16384" width="20.796875" style="15"/>
  </cols>
  <sheetData>
    <row r="1" spans="1:20" s="55" customFormat="1" ht="19.95" customHeight="1" x14ac:dyDescent="0.3">
      <c r="A1" s="55" t="s">
        <v>91</v>
      </c>
    </row>
    <row r="3" spans="1:20" ht="19.95" customHeight="1" x14ac:dyDescent="0.25">
      <c r="A3" s="54" t="s">
        <v>92</v>
      </c>
      <c r="B3" s="54" t="s">
        <v>104</v>
      </c>
      <c r="C3" s="13" t="s">
        <v>75</v>
      </c>
      <c r="D3" s="13" t="s">
        <v>93</v>
      </c>
      <c r="E3" s="13" t="s">
        <v>23</v>
      </c>
      <c r="F3" s="13" t="s">
        <v>76</v>
      </c>
      <c r="G3" s="13" t="s">
        <v>77</v>
      </c>
      <c r="H3" s="13" t="s">
        <v>78</v>
      </c>
      <c r="I3" s="13" t="s">
        <v>85</v>
      </c>
      <c r="J3" s="13" t="s">
        <v>105</v>
      </c>
      <c r="K3" s="13" t="s">
        <v>106</v>
      </c>
      <c r="L3" s="13" t="s">
        <v>166</v>
      </c>
      <c r="M3" s="13" t="s">
        <v>167</v>
      </c>
      <c r="N3" s="13" t="s">
        <v>168</v>
      </c>
      <c r="O3" s="13" t="s">
        <v>169</v>
      </c>
      <c r="P3" s="13" t="s">
        <v>90</v>
      </c>
      <c r="Q3" s="13" t="s">
        <v>107</v>
      </c>
      <c r="R3" s="13" t="s">
        <v>108</v>
      </c>
      <c r="S3" s="54" t="s">
        <v>109</v>
      </c>
      <c r="T3" s="57" t="s">
        <v>150</v>
      </c>
    </row>
    <row r="4" spans="1:20" ht="19.95" customHeight="1" x14ac:dyDescent="0.25">
      <c r="A4" s="54">
        <v>1</v>
      </c>
      <c r="B4" s="54" t="s">
        <v>206</v>
      </c>
      <c r="C4" s="13" t="s">
        <v>94</v>
      </c>
      <c r="D4" s="13" t="s">
        <v>95</v>
      </c>
      <c r="E4" s="13" t="s">
        <v>80</v>
      </c>
      <c r="F4" s="13" t="s">
        <v>111</v>
      </c>
      <c r="G4" s="13" t="s">
        <v>112</v>
      </c>
      <c r="H4" s="13" t="s">
        <v>113</v>
      </c>
      <c r="I4" s="13" t="s">
        <v>114</v>
      </c>
      <c r="J4" s="13">
        <v>0</v>
      </c>
      <c r="K4" s="13">
        <v>20</v>
      </c>
      <c r="L4" s="13">
        <v>21</v>
      </c>
      <c r="M4" s="13">
        <v>30</v>
      </c>
      <c r="N4" s="13">
        <v>31</v>
      </c>
      <c r="O4" s="13">
        <v>999</v>
      </c>
      <c r="P4" s="13" t="s">
        <v>89</v>
      </c>
      <c r="Q4" s="13" t="s">
        <v>147</v>
      </c>
      <c r="R4" s="13" t="s">
        <v>110</v>
      </c>
      <c r="S4" s="54" t="s">
        <v>115</v>
      </c>
      <c r="T4" s="57" t="s">
        <v>202</v>
      </c>
    </row>
    <row r="5" spans="1:20" ht="19.95" customHeight="1" x14ac:dyDescent="0.25">
      <c r="A5" s="54">
        <v>2</v>
      </c>
      <c r="B5" s="54" t="s">
        <v>207</v>
      </c>
      <c r="C5" s="13" t="s">
        <v>96</v>
      </c>
      <c r="D5" s="13" t="s">
        <v>62</v>
      </c>
      <c r="E5" s="13" t="s">
        <v>79</v>
      </c>
      <c r="F5" s="13" t="s">
        <v>118</v>
      </c>
      <c r="G5" s="13" t="s">
        <v>119</v>
      </c>
      <c r="H5" s="13" t="s">
        <v>120</v>
      </c>
      <c r="I5" s="13" t="s">
        <v>114</v>
      </c>
      <c r="J5" s="13">
        <v>80</v>
      </c>
      <c r="K5" s="13">
        <v>150</v>
      </c>
      <c r="L5" s="13">
        <v>150</v>
      </c>
      <c r="M5" s="13">
        <v>200</v>
      </c>
      <c r="N5" s="13">
        <v>200</v>
      </c>
      <c r="O5" s="13">
        <v>999</v>
      </c>
      <c r="P5" s="13" t="s">
        <v>117</v>
      </c>
      <c r="Q5" s="13" t="s">
        <v>148</v>
      </c>
      <c r="R5" s="13" t="s">
        <v>116</v>
      </c>
      <c r="S5" s="54" t="s">
        <v>121</v>
      </c>
      <c r="T5" s="57" t="s">
        <v>202</v>
      </c>
    </row>
    <row r="6" spans="1:20" ht="19.95" customHeight="1" x14ac:dyDescent="0.25">
      <c r="A6" s="54">
        <v>3</v>
      </c>
      <c r="B6" s="54" t="s">
        <v>133</v>
      </c>
      <c r="C6" s="13" t="s">
        <v>97</v>
      </c>
      <c r="D6" s="13" t="s">
        <v>98</v>
      </c>
      <c r="E6" s="13" t="s">
        <v>25</v>
      </c>
      <c r="F6" s="13" t="s">
        <v>122</v>
      </c>
      <c r="G6" s="13" t="s">
        <v>123</v>
      </c>
      <c r="H6" s="13" t="s">
        <v>124</v>
      </c>
      <c r="I6" s="13" t="s">
        <v>125</v>
      </c>
      <c r="J6" s="13">
        <v>0</v>
      </c>
      <c r="K6" s="13">
        <v>1</v>
      </c>
      <c r="L6" s="13">
        <v>1</v>
      </c>
      <c r="M6" s="13">
        <v>1.5</v>
      </c>
      <c r="N6" s="13">
        <v>1.5</v>
      </c>
      <c r="O6" s="13">
        <v>999</v>
      </c>
      <c r="P6" s="13" t="s">
        <v>89</v>
      </c>
      <c r="Q6" s="13" t="s">
        <v>86</v>
      </c>
      <c r="R6" s="13" t="s">
        <v>116</v>
      </c>
      <c r="S6" s="56" t="s">
        <v>126</v>
      </c>
      <c r="T6" s="57" t="s">
        <v>203</v>
      </c>
    </row>
    <row r="7" spans="1:20" ht="19.95" customHeight="1" x14ac:dyDescent="0.25">
      <c r="A7" s="54">
        <v>4</v>
      </c>
      <c r="B7" s="54" t="s">
        <v>208</v>
      </c>
      <c r="C7" s="13" t="s">
        <v>99</v>
      </c>
      <c r="D7" s="13" t="s">
        <v>81</v>
      </c>
      <c r="E7" s="13" t="s">
        <v>158</v>
      </c>
      <c r="F7" s="13" t="s">
        <v>128</v>
      </c>
      <c r="G7" s="13" t="s">
        <v>129</v>
      </c>
      <c r="H7" s="13" t="s">
        <v>130</v>
      </c>
      <c r="I7" s="54" t="s">
        <v>131</v>
      </c>
      <c r="J7" s="13">
        <v>16</v>
      </c>
      <c r="K7" s="13">
        <v>28</v>
      </c>
      <c r="L7" s="13">
        <v>28</v>
      </c>
      <c r="M7" s="13">
        <v>35</v>
      </c>
      <c r="N7" s="13">
        <v>35</v>
      </c>
      <c r="O7" s="13">
        <v>999</v>
      </c>
      <c r="P7" s="13" t="s">
        <v>117</v>
      </c>
      <c r="Q7" s="13" t="s">
        <v>86</v>
      </c>
      <c r="R7" s="13" t="s">
        <v>127</v>
      </c>
      <c r="S7" s="54" t="s">
        <v>132</v>
      </c>
      <c r="T7" s="57" t="s">
        <v>204</v>
      </c>
    </row>
    <row r="8" spans="1:20" ht="19.95" customHeight="1" x14ac:dyDescent="0.25">
      <c r="A8" s="54">
        <v>5</v>
      </c>
      <c r="B8" s="54" t="s">
        <v>209</v>
      </c>
      <c r="C8" s="13" t="s">
        <v>100</v>
      </c>
      <c r="D8" s="13" t="s">
        <v>82</v>
      </c>
      <c r="E8" s="13" t="s">
        <v>149</v>
      </c>
      <c r="F8" s="13" t="s">
        <v>134</v>
      </c>
      <c r="G8" s="13" t="s">
        <v>135</v>
      </c>
      <c r="H8" s="13" t="s">
        <v>136</v>
      </c>
      <c r="I8" s="13" t="s">
        <v>137</v>
      </c>
      <c r="J8" s="13">
        <v>4</v>
      </c>
      <c r="K8" s="13">
        <v>6</v>
      </c>
      <c r="L8" s="13">
        <v>6</v>
      </c>
      <c r="M8" s="13">
        <v>8</v>
      </c>
      <c r="N8" s="13">
        <v>8</v>
      </c>
      <c r="O8" s="13">
        <v>999</v>
      </c>
      <c r="P8" s="13" t="s">
        <v>117</v>
      </c>
      <c r="Q8" s="13" t="s">
        <v>86</v>
      </c>
      <c r="R8" s="13" t="s">
        <v>133</v>
      </c>
      <c r="S8" s="54" t="s">
        <v>138</v>
      </c>
      <c r="T8" s="57" t="s">
        <v>204</v>
      </c>
    </row>
    <row r="9" spans="1:20" ht="19.95" customHeight="1" x14ac:dyDescent="0.25">
      <c r="A9" s="54">
        <v>6</v>
      </c>
      <c r="B9" s="54" t="s">
        <v>210</v>
      </c>
      <c r="C9" s="13" t="s">
        <v>101</v>
      </c>
      <c r="D9" s="13" t="s">
        <v>88</v>
      </c>
      <c r="E9" s="13" t="s">
        <v>83</v>
      </c>
      <c r="F9" s="13" t="s">
        <v>139</v>
      </c>
      <c r="G9" s="13" t="s">
        <v>140</v>
      </c>
      <c r="H9" s="13" t="s">
        <v>141</v>
      </c>
      <c r="I9" s="13" t="s">
        <v>114</v>
      </c>
      <c r="J9" s="13">
        <v>25</v>
      </c>
      <c r="K9" s="13">
        <v>75</v>
      </c>
      <c r="L9" s="13">
        <v>75</v>
      </c>
      <c r="M9" s="13">
        <v>100</v>
      </c>
      <c r="N9" s="13">
        <v>100</v>
      </c>
      <c r="O9" s="13">
        <v>999</v>
      </c>
      <c r="P9" s="13" t="s">
        <v>117</v>
      </c>
      <c r="Q9" s="13" t="s">
        <v>87</v>
      </c>
      <c r="R9" s="13" t="s">
        <v>133</v>
      </c>
      <c r="S9" s="54" t="s">
        <v>142</v>
      </c>
      <c r="T9" s="57" t="s">
        <v>205</v>
      </c>
    </row>
    <row r="10" spans="1:20" ht="19.95" customHeight="1" x14ac:dyDescent="0.25">
      <c r="A10" s="54">
        <v>7</v>
      </c>
      <c r="B10" s="54" t="s">
        <v>211</v>
      </c>
      <c r="C10" s="13" t="s">
        <v>102</v>
      </c>
      <c r="D10" s="13" t="s">
        <v>84</v>
      </c>
      <c r="E10" s="13" t="s">
        <v>103</v>
      </c>
      <c r="F10" s="13" t="s">
        <v>143</v>
      </c>
      <c r="G10" s="13" t="s">
        <v>144</v>
      </c>
      <c r="H10" s="13" t="s">
        <v>145</v>
      </c>
      <c r="I10" s="13" t="s">
        <v>114</v>
      </c>
      <c r="J10" s="13">
        <v>2</v>
      </c>
      <c r="K10" s="13">
        <v>4</v>
      </c>
      <c r="L10" s="13">
        <v>1.5</v>
      </c>
      <c r="M10" s="13">
        <v>2</v>
      </c>
      <c r="N10" s="13">
        <v>5</v>
      </c>
      <c r="O10" s="13">
        <v>999</v>
      </c>
      <c r="P10" s="13" t="s">
        <v>117</v>
      </c>
      <c r="Q10" s="13" t="s">
        <v>87</v>
      </c>
      <c r="R10" s="13" t="s">
        <v>127</v>
      </c>
      <c r="S10" s="54" t="s">
        <v>146</v>
      </c>
      <c r="T10" s="57" t="s">
        <v>204</v>
      </c>
    </row>
    <row r="29" spans="19:19" ht="19.95" customHeight="1" x14ac:dyDescent="0.25">
      <c r="S29" s="15" t="s">
        <v>202</v>
      </c>
    </row>
    <row r="30" spans="19:19" ht="19.95" customHeight="1" x14ac:dyDescent="0.25">
      <c r="S30" s="15" t="s">
        <v>202</v>
      </c>
    </row>
    <row r="31" spans="19:19" ht="19.95" customHeight="1" x14ac:dyDescent="0.25">
      <c r="S31" s="15" t="s">
        <v>203</v>
      </c>
    </row>
    <row r="32" spans="19:19" ht="19.95" customHeight="1" x14ac:dyDescent="0.25">
      <c r="S32" s="15" t="s">
        <v>204</v>
      </c>
    </row>
    <row r="33" spans="19:19" ht="19.95" customHeight="1" x14ac:dyDescent="0.25">
      <c r="S33" s="15" t="s">
        <v>204</v>
      </c>
    </row>
    <row r="34" spans="19:19" ht="19.95" customHeight="1" x14ac:dyDescent="0.25">
      <c r="S34" s="15" t="s">
        <v>205</v>
      </c>
    </row>
    <row r="35" spans="19:19" ht="19.95" customHeight="1" x14ac:dyDescent="0.25">
      <c r="S35" s="15" t="s">
        <v>204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"/>
  <sheetViews>
    <sheetView zoomScale="85" zoomScaleNormal="85" workbookViewId="0">
      <pane ySplit="3" topLeftCell="A4" activePane="bottomLeft" state="frozen"/>
      <selection pane="bottomLeft" activeCell="D5" sqref="D5"/>
    </sheetView>
  </sheetViews>
  <sheetFormatPr defaultColWidth="20.796875" defaultRowHeight="19.95" customHeight="1" x14ac:dyDescent="0.25"/>
  <cols>
    <col min="1" max="1" width="31.19921875" style="15" customWidth="1"/>
    <col min="2" max="6" width="20.796875" style="13"/>
    <col min="7" max="7" width="27.796875" style="15" customWidth="1"/>
    <col min="8" max="8" width="25" style="15" customWidth="1"/>
    <col min="9" max="9" width="20.796875" style="54"/>
    <col min="10" max="16384" width="20.796875" style="15"/>
  </cols>
  <sheetData>
    <row r="1" spans="1:24" s="58" customFormat="1" ht="19.95" customHeight="1" x14ac:dyDescent="0.25">
      <c r="A1" s="58" t="s">
        <v>157</v>
      </c>
      <c r="B1" s="59"/>
      <c r="C1" s="59"/>
      <c r="D1" s="59"/>
      <c r="E1" s="59"/>
      <c r="F1" s="59"/>
      <c r="I1" s="64"/>
    </row>
    <row r="2" spans="1:24" ht="19.95" customHeight="1" x14ac:dyDescent="0.3">
      <c r="A2" s="60" t="s">
        <v>160</v>
      </c>
      <c r="B2" s="61">
        <v>160</v>
      </c>
    </row>
    <row r="3" spans="1:24" ht="19.95" customHeight="1" x14ac:dyDescent="0.25">
      <c r="A3" s="15" t="s">
        <v>75</v>
      </c>
      <c r="B3" s="13" t="s">
        <v>151</v>
      </c>
      <c r="C3" s="13" t="s">
        <v>23</v>
      </c>
      <c r="D3" s="13" t="s">
        <v>76</v>
      </c>
      <c r="E3" s="13" t="s">
        <v>152</v>
      </c>
      <c r="F3" s="13" t="s">
        <v>153</v>
      </c>
      <c r="G3" s="15" t="s">
        <v>154</v>
      </c>
      <c r="H3" s="15" t="s">
        <v>155</v>
      </c>
      <c r="I3" s="54" t="s">
        <v>108</v>
      </c>
      <c r="J3" s="15" t="s">
        <v>159</v>
      </c>
      <c r="K3" s="15" t="s">
        <v>156</v>
      </c>
      <c r="L3" s="15" t="s">
        <v>105</v>
      </c>
      <c r="M3" s="15" t="s">
        <v>106</v>
      </c>
      <c r="N3" s="15" t="s">
        <v>166</v>
      </c>
      <c r="O3" s="15" t="s">
        <v>167</v>
      </c>
      <c r="P3" s="15" t="s">
        <v>168</v>
      </c>
      <c r="Q3" s="15" t="s">
        <v>169</v>
      </c>
      <c r="R3" s="15" t="s">
        <v>90</v>
      </c>
      <c r="U3" s="62" t="s">
        <v>75</v>
      </c>
      <c r="V3" s="62" t="s">
        <v>163</v>
      </c>
      <c r="W3" s="62" t="s">
        <v>164</v>
      </c>
      <c r="X3" s="62" t="s">
        <v>165</v>
      </c>
    </row>
    <row r="4" spans="1:24" ht="19.95" customHeight="1" x14ac:dyDescent="0.25">
      <c r="A4" s="15" t="s">
        <v>94</v>
      </c>
      <c r="B4" s="13">
        <f>INDEX('Raw data'!N$2:N$366,$B$2)</f>
        <v>14.9</v>
      </c>
      <c r="C4" s="13" t="str">
        <f>INDEX(tblReferences[Unit],MATCH(A4,tblReferences[Parameter],0))</f>
        <v>mg/L</v>
      </c>
      <c r="D4" s="13" t="str">
        <f>INDEX(tblReferences[Normal Range],MATCH(A4,tblReferences[Parameter],0))</f>
        <v>≤20 mg/L</v>
      </c>
      <c r="E4" s="13" t="str">
        <f>IF(B4&lt;=M4,"Normal",IF(B4&lt;=O4,"Warning","Critical"))</f>
        <v>Normal</v>
      </c>
      <c r="F4" s="13" t="str">
        <f t="shared" ref="F4:F10" si="0">IF(E4="Critical","High",IF(E4="Warning","Medium","Low"))</f>
        <v>Low</v>
      </c>
      <c r="G4" s="15" t="str">
        <f>IF(E4="Normal","Effluent TSS is within the target range; no significant solids carryover is indicated",IF(E4="Warning","Elevated effluent TSS; possible increase in solids carryover or deterioration in clarification performance","High effluent TSS; likely excessive solids carryover or significant deterioration in secondary clarification"))</f>
        <v>Effluent TSS is within the target range; no significant solids carryover is indicated</v>
      </c>
      <c r="H4" s="15" t="str">
        <f>IF(E4="Normal","Continue routine effluent quality monitoring",IF(E4="Warning","Increase monitoring of effluent TSS and inspect clarifier settling performance","Inspect secondary clarifier operation, sludge blanket and solids carryover; verify effluent quality"))</f>
        <v>Continue routine effluent quality monitoring</v>
      </c>
      <c r="I4" s="13" t="str">
        <f t="shared" ref="I4:I10" si="1">IF(A4="Effluent Total Suspended Solids","Water Quality",IF(A4="Sludge Volume Index","Settling",IF(A4="Sludge Blanket Depth","Sludge Management",IF(A4="Surface Overflow Rate","Hydraulic",IF(A4="Solids Loading Rate","Solids Loading",IF(A4="Return Activated Sludge Ratio","Sludge Management",IF(A4="Hydraulic Retention Time","Hydraulic","Other")))))))</f>
        <v>Water Quality</v>
      </c>
      <c r="J4" s="15" t="str">
        <f t="shared" ref="J4:J10" si="2">IF(E4="Critical","High",IF(E4="Warning","Medium","Low"))</f>
        <v>Low</v>
      </c>
      <c r="K4" s="63">
        <f t="shared" ref="K4:K10" ca="1" si="3">TODAY()</f>
        <v>46280</v>
      </c>
      <c r="L4" s="15">
        <f>INDEX(tblReferences[Lower Limit],MATCH(A4,tblReferences[Parameter],0))</f>
        <v>0</v>
      </c>
      <c r="M4" s="15">
        <f>INDEX(tblReferences[Upper Limit],MATCH(A4,tblReferences[Parameter],0))</f>
        <v>20</v>
      </c>
      <c r="N4" s="15">
        <f>'Scientific References'!L4</f>
        <v>21</v>
      </c>
      <c r="O4" s="15">
        <f>'Scientific References'!M4</f>
        <v>30</v>
      </c>
      <c r="P4" s="15">
        <f>'Scientific References'!N4</f>
        <v>31</v>
      </c>
      <c r="Q4" s="15">
        <f>'Scientific References'!O4</f>
        <v>999</v>
      </c>
      <c r="R4" s="15" t="str">
        <f>INDEX(tblReferences[Direction],MATCH(A4,tblReferences[Parameter],0))</f>
        <v>Lower is Better</v>
      </c>
      <c r="U4" s="62" t="s">
        <v>95</v>
      </c>
      <c r="V4" s="62" t="s">
        <v>89</v>
      </c>
      <c r="W4" s="62" t="s">
        <v>89</v>
      </c>
      <c r="X4" s="62" t="s">
        <v>89</v>
      </c>
    </row>
    <row r="5" spans="1:24" ht="19.95" customHeight="1" x14ac:dyDescent="0.25">
      <c r="A5" s="15" t="s">
        <v>96</v>
      </c>
      <c r="B5" s="70">
        <f>INDEX('Raw data'!I$2:I$366,$B$2)</f>
        <v>98.039215686274517</v>
      </c>
      <c r="C5" s="13" t="str">
        <f>INDEX(tblReferences[Unit],MATCH(A5,tblReferences[Parameter],0))</f>
        <v>mL/g</v>
      </c>
      <c r="D5" s="13" t="str">
        <f>INDEX(tblReferences[Normal Range],MATCH(A5,tblReferences[Parameter],0))</f>
        <v>80–150 mL/g</v>
      </c>
      <c r="E5" s="13" t="str">
        <f>IF(AND(B5&gt;=L5,B5&lt;=M5),"Normal",IF(OR(AND(B5&gt;=N5,B5&lt;=O5),AND(B5&gt;=P5,B5&lt;=Q5)),"Warning","Critical"))</f>
        <v>Normal</v>
      </c>
      <c r="F5" s="13" t="str">
        <f t="shared" si="0"/>
        <v>Low</v>
      </c>
      <c r="G5" s="15" t="str">
        <f>IF(E5="Normal","Sludge settling characteristics are within the reference range",IF(E5="Warning","Deteriorating sludge settleability; possible tendency toward poor settling or bulking","Poor sludge settleability; possible sludge bulking or abnormal sludge characteristics"))</f>
        <v>Sludge settling characteristics are within the reference range</v>
      </c>
      <c r="H5" s="15" t="str">
        <f>IF(E5="Normal","Continue routine sludge settling monitoring",IF(E5="Warning","Investigate sludge settleability and monitor SVI trend; inspect for signs of bulking","Investigate sludge settling failure, review microscopic sludge characteristics and assess possible bulking conditions"))</f>
        <v>Continue routine sludge settling monitoring</v>
      </c>
      <c r="I5" s="13" t="str">
        <f t="shared" si="1"/>
        <v>Settling</v>
      </c>
      <c r="J5" s="15" t="str">
        <f t="shared" si="2"/>
        <v>Low</v>
      </c>
      <c r="K5" s="63">
        <f t="shared" ca="1" si="3"/>
        <v>46280</v>
      </c>
      <c r="L5" s="15">
        <f>INDEX(tblReferences[Lower Limit],MATCH(A5,tblReferences[Parameter],0))</f>
        <v>80</v>
      </c>
      <c r="M5" s="15">
        <f>INDEX(tblReferences[Upper Limit],MATCH(A5,tblReferences[Parameter],0))</f>
        <v>150</v>
      </c>
      <c r="N5" s="15">
        <f>'Scientific References'!L5</f>
        <v>150</v>
      </c>
      <c r="O5" s="15">
        <f>'Scientific References'!M5</f>
        <v>200</v>
      </c>
      <c r="P5" s="15">
        <f>'Scientific References'!N5</f>
        <v>200</v>
      </c>
      <c r="Q5" s="15">
        <f>'Scientific References'!O5</f>
        <v>999</v>
      </c>
      <c r="R5" s="15" t="str">
        <f>INDEX(tblReferences[Direction],MATCH(A5,tblReferences[Parameter],0))</f>
        <v>Target Range</v>
      </c>
      <c r="U5" s="62" t="s">
        <v>62</v>
      </c>
      <c r="V5" s="62" t="s">
        <v>117</v>
      </c>
      <c r="W5" s="62" t="s">
        <v>117</v>
      </c>
      <c r="X5" s="62" t="s">
        <v>117</v>
      </c>
    </row>
    <row r="6" spans="1:24" ht="19.95" customHeight="1" x14ac:dyDescent="0.25">
      <c r="A6" s="15" t="s">
        <v>97</v>
      </c>
      <c r="B6" s="13">
        <f>INDEX('Raw data'!L$2:L$366,$B$2)</f>
        <v>0.41</v>
      </c>
      <c r="C6" s="13" t="str">
        <f>INDEX(tblReferences[Unit],MATCH(A6,tblReferences[Parameter],0))</f>
        <v>m</v>
      </c>
      <c r="D6" s="13" t="str">
        <f>INDEX(tblReferences[Normal Range],MATCH(A6,tblReferences[Parameter],0))</f>
        <v>≤1.0 m</v>
      </c>
      <c r="E6" s="13" t="str">
        <f>IF(B6&lt;=M6,"Normal",IF(B6&lt;=O6,"Warning","Critical"))</f>
        <v>Normal</v>
      </c>
      <c r="F6" s="13" t="str">
        <f t="shared" si="0"/>
        <v>Low</v>
      </c>
      <c r="G6" s="15" t="str">
        <f>IF(E6="Normal","Sludge blanket accumulation is within the acceptable operating range",IF(E6="Warning","Increasing sludge blanket; possible insufficient sludge withdrawal or increased solids accumulation","Excessive sludge blanket accumulation; increased risk of solids carryover and clarifier performance deterioration"))</f>
        <v>Sludge blanket accumulation is within the acceptable operating range</v>
      </c>
      <c r="H6" s="15" t="str">
        <f>IF(E6="Normal","Continue routine sludge blanket monitoring",IF(E6="Warning","Increase sludge blanket monitoring and verify sludge withdrawal performance","Inspect sludge withdrawal system and remove excessive accumulated sludge; increase monitoring frequency"))</f>
        <v>Continue routine sludge blanket monitoring</v>
      </c>
      <c r="I6" s="13" t="str">
        <f t="shared" si="1"/>
        <v>Sludge Management</v>
      </c>
      <c r="J6" s="15" t="str">
        <f t="shared" si="2"/>
        <v>Low</v>
      </c>
      <c r="K6" s="63">
        <f t="shared" ca="1" si="3"/>
        <v>46280</v>
      </c>
      <c r="L6" s="15">
        <f>INDEX(tblReferences[Lower Limit],MATCH(A6,tblReferences[Parameter],0))</f>
        <v>0</v>
      </c>
      <c r="M6" s="15">
        <f>INDEX(tblReferences[Upper Limit],MATCH(A6,tblReferences[Parameter],0))</f>
        <v>1</v>
      </c>
      <c r="N6" s="15">
        <f>'Scientific References'!L6</f>
        <v>1</v>
      </c>
      <c r="O6" s="15">
        <f>'Scientific References'!M6</f>
        <v>1.5</v>
      </c>
      <c r="P6" s="15">
        <f>'Scientific References'!N6</f>
        <v>1.5</v>
      </c>
      <c r="Q6" s="15">
        <f>'Scientific References'!O6</f>
        <v>999</v>
      </c>
      <c r="R6" s="15" t="str">
        <f>INDEX(tblReferences[Direction],MATCH(A6,tblReferences[Parameter],0))</f>
        <v>Lower is Better</v>
      </c>
      <c r="U6" s="62" t="s">
        <v>98</v>
      </c>
      <c r="V6" s="62" t="s">
        <v>89</v>
      </c>
      <c r="W6" s="62" t="s">
        <v>89</v>
      </c>
      <c r="X6" s="62" t="s">
        <v>89</v>
      </c>
    </row>
    <row r="7" spans="1:24" s="75" customFormat="1" ht="19.95" customHeight="1" x14ac:dyDescent="0.25">
      <c r="A7" s="75" t="s">
        <v>99</v>
      </c>
      <c r="B7" s="78">
        <f>INDEX(Calculation!B$2:B$366,$B$2)</f>
        <v>14.032338308457712</v>
      </c>
      <c r="C7" s="36" t="str">
        <f>INDEX(tblReferences[Unit],MATCH(A7,tblReferences[Parameter],0))</f>
        <v>m³/m²·d</v>
      </c>
      <c r="D7" s="36" t="str">
        <f>INDEX(tblReferences[Normal Range],MATCH(A7,tblReferences[Parameter],0))</f>
        <v>16–28 m³/m²·day</v>
      </c>
      <c r="E7" s="36" t="str">
        <f>IF(B7&lt;L7,"Underloaded",IF(B7&lt;M7,"Normal",IF(B7&lt;P7,"Warning","Critical")))</f>
        <v>Underloaded</v>
      </c>
      <c r="F7" s="36" t="str">
        <f t="shared" si="0"/>
        <v>Low</v>
      </c>
      <c r="G7" s="75" t="str">
        <f>IF(E7="Normal","Surface overflow rate is within the reference operating range",IF(E7="Underloaded","Hydraulic loading is below the reference range; possible low influent flow or excess clarifier capacity in service",IF(E7="Warning","Elevated hydraulic loading; increasing risk of reduced clarification performance","High hydraulic loading; possible hydraulic overloading and increased solids carryover risk")))</f>
        <v>Hydraulic loading is below the reference range; possible low influent flow or excess clarifier capacity in service</v>
      </c>
      <c r="H7" s="75" t="str">
        <f>IF(E7="Normal","Continue routine hydraulic loading monitoring",IF(E7="Underloaded","Verify influent flow and confirm the number of clarifiers in service; check whether available clarifier capacity exceeds current hydraulic demand",IF(E7="Warning","Monitor hydraulic loading and clarifier performance; verify flow distribution","Verify influent flow, hydraulic distribution and clarifier loading immediately; assess hydraulic overloading risk")))</f>
        <v>Verify influent flow and confirm the number of clarifiers in service; check whether available clarifier capacity exceeds current hydraulic demand</v>
      </c>
      <c r="I7" s="13" t="str">
        <f t="shared" si="1"/>
        <v>Hydraulic</v>
      </c>
      <c r="J7" s="75" t="str">
        <f t="shared" si="2"/>
        <v>Low</v>
      </c>
      <c r="K7" s="76">
        <f t="shared" ca="1" si="3"/>
        <v>46280</v>
      </c>
      <c r="L7" s="75">
        <f>INDEX(tblReferences[Lower Limit],MATCH(A7,tblReferences[Parameter],0))</f>
        <v>16</v>
      </c>
      <c r="M7" s="75">
        <f>INDEX(tblReferences[Upper Limit],MATCH(A7,tblReferences[Parameter],0))</f>
        <v>28</v>
      </c>
      <c r="N7" s="75">
        <f>'Scientific References'!L7</f>
        <v>28</v>
      </c>
      <c r="O7" s="75">
        <f>'Scientific References'!M7</f>
        <v>35</v>
      </c>
      <c r="P7" s="75">
        <f>'Scientific References'!N7</f>
        <v>35</v>
      </c>
      <c r="Q7" s="75">
        <f>'Scientific References'!O7</f>
        <v>999</v>
      </c>
      <c r="R7" s="75" t="str">
        <f>INDEX(tblReferences[Direction],MATCH(A7,tblReferences[Parameter],0))</f>
        <v>Target Range</v>
      </c>
      <c r="U7" s="77" t="s">
        <v>81</v>
      </c>
      <c r="V7" s="77" t="s">
        <v>117</v>
      </c>
      <c r="W7" s="77" t="s">
        <v>117</v>
      </c>
      <c r="X7" s="77" t="s">
        <v>117</v>
      </c>
    </row>
    <row r="8" spans="1:24" s="75" customFormat="1" ht="19.95" customHeight="1" x14ac:dyDescent="0.25">
      <c r="A8" s="75" t="s">
        <v>100</v>
      </c>
      <c r="B8" s="78">
        <f>INDEX(Calculation!A$2:A$366,$B$2)</f>
        <v>2.0038179104477609</v>
      </c>
      <c r="C8" s="36" t="str">
        <f>INDEX(tblReferences[Unit],MATCH(A8,tblReferences[Parameter],0))</f>
        <v>kg/m²·h</v>
      </c>
      <c r="D8" s="36" t="str">
        <f>INDEX(tblReferences[Normal Range],MATCH(A8,tblReferences[Parameter],0))</f>
        <v>4–6 kg/m²·h</v>
      </c>
      <c r="E8" s="36" t="str">
        <f>IF(B8&lt;L8,"Underloaded",IF(B8&lt;M8,"Normal",IF(B8&lt;P8,"Warning","Critical")))</f>
        <v>Underloaded</v>
      </c>
      <c r="F8" s="36" t="str">
        <f t="shared" si="0"/>
        <v>Low</v>
      </c>
      <c r="G8" s="75" t="str">
        <f>IF(E8="Normal","Solids loading is within the reference operating range",IF(E8="Underloaded","Solids loading is below the reference range; possible low influent solids load or excess clarifier capacity in service",IF(E8="Warning","Elevated solids loading; increased solids stress on the clarifier","High solids loading; possible solids overloading and increased risk of solids carryover")))</f>
        <v>Solids loading is below the reference range; possible low influent solids load or excess clarifier capacity in service</v>
      </c>
      <c r="H8" s="75" t="str">
        <f>IF(E8="Normal","Continue routine solids loading monitoring",IF(E8="Underloaded","Verify influent TSS, influent flow, RAS solids concentration and number of clarifiers in service",IF(E8="Warning","Monitor solids loading and sludge inventory; verify influent solids concentration and RAS conditions","Investigate excessive solids loading, sludge inventory and risk of solids carryover; verify influent and RAS solids conditions")))</f>
        <v>Verify influent TSS, influent flow, RAS solids concentration and number of clarifiers in service</v>
      </c>
      <c r="I8" s="13" t="str">
        <f t="shared" si="1"/>
        <v>Solids Loading</v>
      </c>
      <c r="J8" s="75" t="str">
        <f t="shared" si="2"/>
        <v>Low</v>
      </c>
      <c r="K8" s="76">
        <f t="shared" ca="1" si="3"/>
        <v>46280</v>
      </c>
      <c r="L8" s="75">
        <f>INDEX(tblReferences[Lower Limit],MATCH(A8,tblReferences[Parameter],0))</f>
        <v>4</v>
      </c>
      <c r="M8" s="75">
        <f>INDEX(tblReferences[Upper Limit],MATCH(A8,tblReferences[Parameter],0))</f>
        <v>6</v>
      </c>
      <c r="N8" s="75">
        <f>'Scientific References'!L8</f>
        <v>6</v>
      </c>
      <c r="O8" s="75">
        <f>'Scientific References'!M8</f>
        <v>8</v>
      </c>
      <c r="P8" s="75">
        <f>'Scientific References'!N8</f>
        <v>8</v>
      </c>
      <c r="Q8" s="75">
        <f>'Scientific References'!O8</f>
        <v>999</v>
      </c>
      <c r="R8" s="75" t="str">
        <f>INDEX(tblReferences[Direction],MATCH(A8,tblReferences[Parameter],0))</f>
        <v>Target Range</v>
      </c>
      <c r="U8" s="77" t="s">
        <v>82</v>
      </c>
      <c r="V8" s="77" t="s">
        <v>117</v>
      </c>
      <c r="W8" s="77" t="s">
        <v>117</v>
      </c>
      <c r="X8" s="77" t="s">
        <v>117</v>
      </c>
    </row>
    <row r="9" spans="1:24" ht="19.95" customHeight="1" x14ac:dyDescent="0.25">
      <c r="A9" s="15" t="s">
        <v>101</v>
      </c>
      <c r="B9" s="13">
        <f>INDEX('Raw data'!C$2:C$366,$B$2)</f>
        <v>60</v>
      </c>
      <c r="C9" s="13" t="str">
        <f>INDEX(tblReferences[Unit],MATCH(A9,tblReferences[Parameter],0))</f>
        <v>%</v>
      </c>
      <c r="D9" s="13" t="str">
        <f>INDEX(tblReferences[Normal Range],MATCH(A9,tblReferences[Parameter],0))</f>
        <v>25–75 %</v>
      </c>
      <c r="E9" s="13" t="str">
        <f>IF(AND(B9&gt;=L9,B9&lt;=M9),"Normal",IF(OR(AND(B9&gt;=N9,B9&lt;=O9),AND(B9&gt;=P9,B9&lt;=Q9)),"Warning","Critical"))</f>
        <v>Normal</v>
      </c>
      <c r="F9" s="13" t="str">
        <f t="shared" si="0"/>
        <v>Low</v>
      </c>
      <c r="G9" s="15" t="str">
        <f>IF(E9="Normal","RAS rate is within the reference operating range",IF(B9&lt;25,"Low RAS rate; possible insufficient return of settled sludge and increased sludge accumulation risk",IF(B9&lt;=100,"High RAS rate; possible excessive sludge recycle and increased hydraulic recycle load","Very high RAS rate; excessive sludge recycle and potential hydraulic loading concern")))</f>
        <v>RAS rate is within the reference operating range</v>
      </c>
      <c r="H9" s="15" t="str">
        <f>IF(E9="Normal","Continue routine RAS monitoring",IF(B9&lt;25,"Verify RAS flow, return sludge pump operation and sludge withdrawal conditions",IF(B9&lt;=100,"Review RAS flow setting and verify sludge inventory and clarifier performance","Investigate excessive RAS flow and recycle loading; verify pump operation and sludge inventory")))</f>
        <v>Continue routine RAS monitoring</v>
      </c>
      <c r="I9" s="13" t="str">
        <f t="shared" si="1"/>
        <v>Sludge Management</v>
      </c>
      <c r="J9" s="15" t="str">
        <f t="shared" si="2"/>
        <v>Low</v>
      </c>
      <c r="K9" s="63">
        <f t="shared" ca="1" si="3"/>
        <v>46280</v>
      </c>
      <c r="L9" s="15">
        <f>INDEX(tblReferences[Lower Limit],MATCH(A9,tblReferences[Parameter],0))</f>
        <v>25</v>
      </c>
      <c r="M9" s="15">
        <f>INDEX(tblReferences[Upper Limit],MATCH(A9,tblReferences[Parameter],0))</f>
        <v>75</v>
      </c>
      <c r="N9" s="15">
        <f>'Scientific References'!L9</f>
        <v>75</v>
      </c>
      <c r="O9" s="15">
        <f>'Scientific References'!M9</f>
        <v>100</v>
      </c>
      <c r="P9" s="15">
        <f>'Scientific References'!N9</f>
        <v>100</v>
      </c>
      <c r="Q9" s="15">
        <f>'Scientific References'!O9</f>
        <v>999</v>
      </c>
      <c r="R9" s="15" t="str">
        <f>INDEX(tblReferences[Direction],MATCH(A9,tblReferences[Parameter],0))</f>
        <v>Target Range</v>
      </c>
      <c r="U9" s="62" t="s">
        <v>88</v>
      </c>
      <c r="V9" s="62" t="s">
        <v>117</v>
      </c>
      <c r="W9" s="62" t="s">
        <v>117</v>
      </c>
      <c r="X9" s="62" t="s">
        <v>117</v>
      </c>
    </row>
    <row r="10" spans="1:24" s="75" customFormat="1" ht="19.95" customHeight="1" x14ac:dyDescent="0.25">
      <c r="A10" s="75" t="s">
        <v>102</v>
      </c>
      <c r="B10" s="78">
        <f>INDEX(Calculation!C$2:C$366,$B$2)</f>
        <v>4.2758376174437149</v>
      </c>
      <c r="C10" s="36" t="str">
        <f>INDEX(tblReferences[Unit],MATCH(A10,tblReferences[Parameter],0))</f>
        <v>h</v>
      </c>
      <c r="D10" s="36" t="str">
        <f>INDEX(tblReferences[Normal Range],MATCH(A10,tblReferences[Parameter],0))</f>
        <v>2.0–4.0 h</v>
      </c>
      <c r="E10" s="36" t="str">
        <f>IF(B10&lt;N10,"Critical",IF(B10&lt;L10,"Warning",IF(B10&lt;=M10,"Normal",IF(B10&lt;P10,"Warning","Critical"))))</f>
        <v>Warning</v>
      </c>
      <c r="F10" s="36" t="str">
        <f t="shared" si="0"/>
        <v>Medium</v>
      </c>
      <c r="G10" s="75" t="str">
        <f>IF(B10&lt;2,"Short hydraulic retention time; possible high hydraulic loading or insufficient effective detention volume",IF(B10&lt;=4,"Hydraulic retention time is within the reference operating range",IF(B10&lt;5,"Extended hydraulic retention time; possible low influent flow or excess effective clarifier volume in service","Excessive hydraulic retention time; possible low influent flow or excess clarifier capacity in service")))</f>
        <v>Extended hydraulic retention time; possible low influent flow or excess effective clarifier volume in service</v>
      </c>
      <c r="H10" s="75" t="str">
        <f>IF(B10&lt;2,"Verify influent flow and investigate possible hydraulic overloading",IF(B10&lt;=4,"Continue routine hydraulic monitoring",IF(B10&lt;5,"Verify influent flow and clarifier operating configuration","Verify influent flow, effective clarifier volume and number of clarifiers in service; investigate the cause of excessive detention time")))</f>
        <v>Verify influent flow and clarifier operating configuration</v>
      </c>
      <c r="I10" s="36" t="str">
        <f t="shared" si="1"/>
        <v>Hydraulic</v>
      </c>
      <c r="J10" s="75" t="str">
        <f t="shared" si="2"/>
        <v>Medium</v>
      </c>
      <c r="K10" s="76">
        <f t="shared" ca="1" si="3"/>
        <v>46280</v>
      </c>
      <c r="L10" s="75">
        <f>INDEX(tblReferences[Lower Limit],MATCH(A10,tblReferences[Parameter],0))</f>
        <v>2</v>
      </c>
      <c r="M10" s="75">
        <f>INDEX(tblReferences[Upper Limit],MATCH(A10,tblReferences[Parameter],0))</f>
        <v>4</v>
      </c>
      <c r="N10" s="75">
        <f>'Scientific References'!L10</f>
        <v>1.5</v>
      </c>
      <c r="O10" s="75">
        <f>'Scientific References'!M10</f>
        <v>2</v>
      </c>
      <c r="P10" s="75">
        <f>'Scientific References'!N10</f>
        <v>5</v>
      </c>
      <c r="Q10" s="75">
        <f>'Scientific References'!O10</f>
        <v>999</v>
      </c>
      <c r="R10" s="75" t="str">
        <f>INDEX(tblReferences[Direction],MATCH(A10,tblReferences[Parameter],0))</f>
        <v>Target Range</v>
      </c>
      <c r="U10" s="77" t="s">
        <v>84</v>
      </c>
      <c r="V10" s="77" t="s">
        <v>117</v>
      </c>
      <c r="W10" s="77" t="s">
        <v>117</v>
      </c>
      <c r="X10" s="77" t="s">
        <v>117</v>
      </c>
    </row>
  </sheetData>
  <dataValidations disablePrompts="1" count="1">
    <dataValidation type="whole" allowBlank="1" showInputMessage="1" showErrorMessage="1" sqref="B2" xr:uid="{00000000-0002-0000-0500-000000000000}">
      <formula1>1</formula1>
      <formula2>365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>
      <selection activeCell="B9" sqref="B9"/>
    </sheetView>
  </sheetViews>
  <sheetFormatPr defaultColWidth="20.796875" defaultRowHeight="19.95" customHeight="1" x14ac:dyDescent="0.25"/>
  <cols>
    <col min="1" max="1" width="29.796875" style="15" customWidth="1"/>
    <col min="2" max="2" width="20.796875" style="15"/>
    <col min="3" max="3" width="20.796875" style="13"/>
    <col min="4" max="4" width="20.796875" style="15"/>
    <col min="5" max="5" width="20.796875" style="13"/>
    <col min="6" max="16384" width="20.796875" style="15"/>
  </cols>
  <sheetData>
    <row r="1" spans="1:5" ht="19.95" customHeight="1" x14ac:dyDescent="0.35">
      <c r="A1" s="60" t="s">
        <v>160</v>
      </c>
      <c r="B1" s="66">
        <f>Diagnosis!B2</f>
        <v>160</v>
      </c>
    </row>
    <row r="2" spans="1:5" ht="19.95" customHeight="1" x14ac:dyDescent="0.25">
      <c r="A2" s="58" t="s">
        <v>170</v>
      </c>
      <c r="B2" s="13">
        <f>D10</f>
        <v>97</v>
      </c>
    </row>
    <row r="3" spans="1:5" ht="19.95" customHeight="1" x14ac:dyDescent="0.25">
      <c r="A3" s="58" t="s">
        <v>171</v>
      </c>
      <c r="B3" s="13" t="str">
        <f>IF(B2&gt;=85,"Excellent",IF(B2&gt;=70,"Good",IF(B2&gt;=50,"Warning","Critical")))</f>
        <v>Excellent</v>
      </c>
    </row>
    <row r="5" spans="1:5" s="23" customFormat="1" ht="19.95" customHeight="1" x14ac:dyDescent="0.25">
      <c r="A5" s="23" t="s">
        <v>75</v>
      </c>
      <c r="B5" s="23" t="s">
        <v>172</v>
      </c>
      <c r="C5" s="69" t="s">
        <v>173</v>
      </c>
      <c r="D5" s="23" t="s">
        <v>174</v>
      </c>
      <c r="E5" s="69" t="s">
        <v>152</v>
      </c>
    </row>
    <row r="6" spans="1:5" ht="19.95" customHeight="1" x14ac:dyDescent="0.25">
      <c r="A6" s="15" t="s">
        <v>94</v>
      </c>
      <c r="B6" s="13">
        <f>IF(E6="Normal",100,IF(E6="Warning",60,20))</f>
        <v>100</v>
      </c>
      <c r="C6" s="13">
        <v>35</v>
      </c>
      <c r="D6" s="15">
        <f>B6*C6/100</f>
        <v>35</v>
      </c>
      <c r="E6" s="13" t="str">
        <f>Diagnosis!E4</f>
        <v>Normal</v>
      </c>
    </row>
    <row r="7" spans="1:5" ht="19.95" customHeight="1" x14ac:dyDescent="0.25">
      <c r="A7" s="15" t="s">
        <v>96</v>
      </c>
      <c r="B7" s="13">
        <f t="shared" ref="B7:B8" si="0">IF(E7="Normal",100,IF(E7="Warning",60,20))</f>
        <v>100</v>
      </c>
      <c r="C7" s="13">
        <v>30</v>
      </c>
      <c r="D7" s="15">
        <f t="shared" ref="D7:D9" si="1">B7*C7/100</f>
        <v>30</v>
      </c>
      <c r="E7" s="13" t="str">
        <f>Diagnosis!E5</f>
        <v>Normal</v>
      </c>
    </row>
    <row r="8" spans="1:5" ht="19.95" customHeight="1" x14ac:dyDescent="0.25">
      <c r="A8" s="15" t="s">
        <v>97</v>
      </c>
      <c r="B8" s="13">
        <f t="shared" si="0"/>
        <v>100</v>
      </c>
      <c r="C8" s="13">
        <v>20</v>
      </c>
      <c r="D8" s="15">
        <f t="shared" si="1"/>
        <v>20</v>
      </c>
      <c r="E8" s="13" t="str">
        <f>Diagnosis!E6</f>
        <v>Normal</v>
      </c>
    </row>
    <row r="9" spans="1:5" ht="19.95" customHeight="1" x14ac:dyDescent="0.25">
      <c r="A9" s="15" t="s">
        <v>100</v>
      </c>
      <c r="B9" s="13">
        <f>IF(E9="Normal",100,IF(E9="Underloaded",80,IF(E9="Warning",60,IF(E9="Critical",20,0))))</f>
        <v>80</v>
      </c>
      <c r="C9" s="13">
        <v>15</v>
      </c>
      <c r="D9" s="15">
        <f t="shared" si="1"/>
        <v>12</v>
      </c>
      <c r="E9" s="13" t="str">
        <f>Diagnosis!E8</f>
        <v>Underloaded</v>
      </c>
    </row>
    <row r="10" spans="1:5" ht="19.95" customHeight="1" x14ac:dyDescent="0.25">
      <c r="A10" s="65" t="s">
        <v>175</v>
      </c>
      <c r="C10" s="13">
        <f>SUM(C6:C9)</f>
        <v>100</v>
      </c>
      <c r="D10" s="65">
        <f>SUM(D6:D9)</f>
        <v>97</v>
      </c>
    </row>
  </sheetData>
  <conditionalFormatting sqref="B3">
    <cfRule type="cellIs" dxfId="27" priority="1" operator="equal">
      <formula>"Warning"</formula>
    </cfRule>
    <cfRule type="cellIs" dxfId="26" priority="2" operator="equal">
      <formula>"Critical"</formula>
    </cfRule>
    <cfRule type="cellIs" dxfId="25" priority="3" operator="equal">
      <formula>"Good"</formula>
    </cfRule>
    <cfRule type="cellIs" dxfId="24" priority="4" operator="equal">
      <formula>"Excellent"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>
      <selection activeCell="B10" sqref="B10"/>
    </sheetView>
  </sheetViews>
  <sheetFormatPr defaultColWidth="20.796875" defaultRowHeight="19.95" customHeight="1" x14ac:dyDescent="0.25"/>
  <cols>
    <col min="1" max="1" width="29.09765625" style="15" customWidth="1"/>
    <col min="2" max="16384" width="20.796875" style="15"/>
  </cols>
  <sheetData>
    <row r="1" spans="1:7" ht="19.95" customHeight="1" x14ac:dyDescent="0.4">
      <c r="A1" s="60" t="s">
        <v>160</v>
      </c>
      <c r="B1" s="68">
        <f>Diagnosis!B2</f>
        <v>160</v>
      </c>
    </row>
    <row r="2" spans="1:7" ht="19.95" customHeight="1" x14ac:dyDescent="0.25">
      <c r="A2" s="15" t="s">
        <v>176</v>
      </c>
      <c r="B2" s="15">
        <f>SUM(G7:G10)</f>
        <v>69</v>
      </c>
    </row>
    <row r="3" spans="1:7" ht="19.95" customHeight="1" x14ac:dyDescent="0.25">
      <c r="A3" s="15" t="s">
        <v>177</v>
      </c>
      <c r="B3" s="13" t="str">
        <f>IF(B2&gt;=85,"Excellent",IF(B2&gt;=70,"Good",IF(B2&gt;=50,"Warning","Critical")))</f>
        <v>Warning</v>
      </c>
    </row>
    <row r="4" spans="1:7" ht="19.95" customHeight="1" x14ac:dyDescent="0.25">
      <c r="A4" s="15" t="s">
        <v>182</v>
      </c>
      <c r="B4" s="15" t="str">
        <f>IF(B3="Excellent","Stable operation - No action required",IF(B3="Good","Operation is stable - Continue monitoring",IF(B3="Warning","Performance fluctuation detected - Increase monitoring","Unstable operation - Immediate corrective action required")))</f>
        <v>Performance fluctuation detected - Increase monitoring</v>
      </c>
    </row>
    <row r="6" spans="1:7" s="67" customFormat="1" ht="19.95" customHeight="1" x14ac:dyDescent="0.25">
      <c r="A6" s="67" t="s">
        <v>75</v>
      </c>
      <c r="B6" s="67" t="s">
        <v>178</v>
      </c>
      <c r="C6" s="67" t="s">
        <v>179</v>
      </c>
      <c r="D6" s="67" t="s">
        <v>180</v>
      </c>
      <c r="E6" s="67" t="s">
        <v>181</v>
      </c>
      <c r="F6" s="67" t="s">
        <v>173</v>
      </c>
      <c r="G6" s="67" t="s">
        <v>174</v>
      </c>
    </row>
    <row r="7" spans="1:7" ht="19.95" customHeight="1" x14ac:dyDescent="0.25">
      <c r="A7" s="15" t="s">
        <v>96</v>
      </c>
      <c r="B7" s="70">
        <f>Diagnosis!B5</f>
        <v>98.039215686274517</v>
      </c>
      <c r="C7" s="31">
        <f>AVERAGE(INDEX('Raw data'!I:I,$B$1+1-6):INDEX('Raw data'!I:I,$B$1+1))</f>
        <v>100.27329370878364</v>
      </c>
      <c r="D7" s="31">
        <f>_xlfn.STDEV.S(INDEX('Raw data'!I:I,$B$1+1-6):INDEX('Raw data'!I:I,$B$1+1))/C7*100</f>
        <v>5.2751231545926327</v>
      </c>
      <c r="E7" s="13">
        <f t="shared" ref="E7:E10" si="0">IF(D7&lt;=5,100,IF(D7&lt;=10,80,IF(D7&lt;=20,60,20)))</f>
        <v>80</v>
      </c>
      <c r="F7" s="13">
        <v>35</v>
      </c>
      <c r="G7" s="13">
        <f t="shared" ref="G7:G10" si="1">E7*F7/100</f>
        <v>28</v>
      </c>
    </row>
    <row r="8" spans="1:7" ht="19.95" customHeight="1" x14ac:dyDescent="0.25">
      <c r="A8" s="15" t="s">
        <v>97</v>
      </c>
      <c r="B8" s="13">
        <f>Diagnosis!B6</f>
        <v>0.41</v>
      </c>
      <c r="C8" s="31">
        <f>AVERAGE(INDEX('Raw data'!L:L,$B$1+1-6):INDEX('Raw data'!L:L,$B$1+1))</f>
        <v>0.47285714285714286</v>
      </c>
      <c r="D8" s="31">
        <f>_xlfn.STDEV.S(INDEX('Raw data'!L:L,$B$1+1-6):INDEX('Raw data'!L:L,$B$1+1))/C8*100</f>
        <v>22.833164504762713</v>
      </c>
      <c r="E8" s="13">
        <f t="shared" si="0"/>
        <v>20</v>
      </c>
      <c r="F8" s="13">
        <v>30</v>
      </c>
      <c r="G8" s="13">
        <f t="shared" si="1"/>
        <v>6</v>
      </c>
    </row>
    <row r="9" spans="1:7" ht="19.95" customHeight="1" x14ac:dyDescent="0.25">
      <c r="A9" s="15" t="s">
        <v>99</v>
      </c>
      <c r="B9" s="70">
        <f>Diagnosis!B7</f>
        <v>14.032338308457712</v>
      </c>
      <c r="C9" s="31">
        <f>AVERAGE(INDEX(Calculation!B:B,$B$1+1-6):INDEX(Calculation!B:B,$B$1+1))</f>
        <v>13.962508884150676</v>
      </c>
      <c r="D9" s="31">
        <f>_xlfn.STDEV.S(INDEX(Calculation!B:B,$B$1+1-6):INDEX(Calculation!B:B,$B$1+1))/C9*100</f>
        <v>0.93506382904727359</v>
      </c>
      <c r="E9" s="13">
        <f t="shared" si="0"/>
        <v>100</v>
      </c>
      <c r="F9" s="13">
        <v>20</v>
      </c>
      <c r="G9" s="13">
        <f t="shared" si="1"/>
        <v>20</v>
      </c>
    </row>
    <row r="10" spans="1:7" ht="19.95" customHeight="1" x14ac:dyDescent="0.25">
      <c r="A10" s="15" t="s">
        <v>102</v>
      </c>
      <c r="B10" s="70">
        <f>Diagnosis!B10</f>
        <v>4.2758376174437149</v>
      </c>
      <c r="C10" s="31">
        <f>AVERAGE(INDEX(Calculation!C:C,$B$1+1-6):INDEX(Calculation!C:C,$B$1+1))</f>
        <v>4.2975463761863555</v>
      </c>
      <c r="D10" s="31">
        <f>_xlfn.STDEV.S(INDEX(Calculation!C:C,$B$1+1-6):INDEX(Calculation!C:C,$B$1+1))/C10*100</f>
        <v>0.94184427857627007</v>
      </c>
      <c r="E10" s="13">
        <f t="shared" si="0"/>
        <v>100</v>
      </c>
      <c r="F10" s="13">
        <v>15</v>
      </c>
      <c r="G10" s="13">
        <f t="shared" si="1"/>
        <v>15</v>
      </c>
    </row>
    <row r="11" spans="1:7" ht="19.95" customHeight="1" x14ac:dyDescent="0.25">
      <c r="A11" s="15" t="s">
        <v>175</v>
      </c>
      <c r="E11" s="13"/>
      <c r="G11" s="13">
        <f>SUM(G7:G10)</f>
        <v>69</v>
      </c>
    </row>
  </sheetData>
  <conditionalFormatting sqref="B3">
    <cfRule type="cellIs" dxfId="23" priority="1" operator="equal">
      <formula>"Critical"</formula>
    </cfRule>
    <cfRule type="cellIs" dxfId="22" priority="2" operator="equal">
      <formula>"Warning"</formula>
    </cfRule>
    <cfRule type="cellIs" dxfId="21" priority="3" operator="equal">
      <formula>"Good"</formula>
    </cfRule>
    <cfRule type="cellIs" dxfId="20" priority="4" operator="equal">
      <formula>"Excellent"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selection activeCell="B11" sqref="B11"/>
    </sheetView>
  </sheetViews>
  <sheetFormatPr defaultColWidth="20.796875" defaultRowHeight="19.95" customHeight="1" x14ac:dyDescent="0.25"/>
  <cols>
    <col min="1" max="1" width="31.09765625" style="15" customWidth="1"/>
    <col min="2" max="16384" width="20.796875" style="15"/>
  </cols>
  <sheetData>
    <row r="1" spans="1:5" ht="19.95" customHeight="1" x14ac:dyDescent="0.3">
      <c r="A1" s="55" t="s">
        <v>160</v>
      </c>
      <c r="B1" s="55">
        <f>Diagnosis!B2</f>
        <v>160</v>
      </c>
    </row>
    <row r="2" spans="1:5" ht="19.95" customHeight="1" x14ac:dyDescent="0.25">
      <c r="A2" s="15" t="s">
        <v>183</v>
      </c>
      <c r="B2" s="13">
        <f>SUM(D7:D11)</f>
        <v>16.25</v>
      </c>
    </row>
    <row r="3" spans="1:5" ht="19.95" customHeight="1" x14ac:dyDescent="0.25">
      <c r="A3" s="15" t="s">
        <v>184</v>
      </c>
      <c r="B3" s="13" t="str">
        <f>IF(B2&lt;=20,"Low",IF(B2&lt;=40,"Moderate",IF(B2&lt;=70,"High","Very High")))</f>
        <v>Low</v>
      </c>
    </row>
    <row r="4" spans="1:5" ht="19.95" customHeight="1" x14ac:dyDescent="0.25">
      <c r="A4" s="15" t="s">
        <v>185</v>
      </c>
      <c r="B4" s="24" t="str">
        <f>IF(B3="Low","Normal operation. Continue routine monitoring.",IF(B3="Moderate","Increase monitoring frequency and inspect clarifier conditions.",IF(B3="High","Operational risk is high. Implement corrective actions.","Immediate intervention required to prevent clarifier failure.")))</f>
        <v>Normal operation. Continue routine monitoring.</v>
      </c>
    </row>
    <row r="6" spans="1:5" s="67" customFormat="1" ht="19.95" customHeight="1" x14ac:dyDescent="0.25">
      <c r="A6" s="67" t="s">
        <v>75</v>
      </c>
      <c r="B6" s="16" t="s">
        <v>186</v>
      </c>
      <c r="C6" s="16" t="s">
        <v>173</v>
      </c>
      <c r="D6" s="16" t="s">
        <v>187</v>
      </c>
      <c r="E6" s="16" t="s">
        <v>152</v>
      </c>
    </row>
    <row r="7" spans="1:5" ht="19.95" customHeight="1" x14ac:dyDescent="0.25">
      <c r="A7" s="15" t="s">
        <v>94</v>
      </c>
      <c r="B7" s="13">
        <f>IF(E7="Normal",0,IF(E7="Warning",50,100))</f>
        <v>0</v>
      </c>
      <c r="C7" s="13">
        <v>30</v>
      </c>
      <c r="D7" s="13">
        <f>B7*C7/100</f>
        <v>0</v>
      </c>
      <c r="E7" s="13" t="str">
        <f>Diagnosis!E4</f>
        <v>Normal</v>
      </c>
    </row>
    <row r="8" spans="1:5" ht="19.95" customHeight="1" x14ac:dyDescent="0.25">
      <c r="A8" s="15" t="s">
        <v>97</v>
      </c>
      <c r="B8" s="13">
        <f t="shared" ref="B8:B10" si="0">IF(E8="Normal",0,IF(E8="Warning",50,100))</f>
        <v>0</v>
      </c>
      <c r="C8" s="13">
        <v>15</v>
      </c>
      <c r="D8" s="13">
        <f t="shared" ref="D8:D11" si="1">B8*C8/100</f>
        <v>0</v>
      </c>
      <c r="E8" s="13" t="str">
        <f>Diagnosis!E6</f>
        <v>Normal</v>
      </c>
    </row>
    <row r="9" spans="1:5" ht="19.95" customHeight="1" x14ac:dyDescent="0.25">
      <c r="A9" s="15" t="s">
        <v>99</v>
      </c>
      <c r="B9" s="13">
        <f>IF(E9="Normal",0,IF(E9="Underloaded",25,IF(E9="Warning",50,IF(E9="Critical",100,0))))</f>
        <v>25</v>
      </c>
      <c r="C9" s="13">
        <v>25</v>
      </c>
      <c r="D9" s="13">
        <f t="shared" si="1"/>
        <v>6.25</v>
      </c>
      <c r="E9" s="13" t="str">
        <f>Diagnosis!E7</f>
        <v>Underloaded</v>
      </c>
    </row>
    <row r="10" spans="1:5" ht="19.95" customHeight="1" x14ac:dyDescent="0.25">
      <c r="A10" s="15" t="s">
        <v>101</v>
      </c>
      <c r="B10" s="13">
        <f t="shared" si="0"/>
        <v>0</v>
      </c>
      <c r="C10" s="13">
        <v>10</v>
      </c>
      <c r="D10" s="13">
        <f t="shared" si="1"/>
        <v>0</v>
      </c>
      <c r="E10" s="13" t="str">
        <f>Diagnosis!E9</f>
        <v>Normal</v>
      </c>
    </row>
    <row r="11" spans="1:5" ht="19.95" customHeight="1" x14ac:dyDescent="0.25">
      <c r="A11" s="15" t="s">
        <v>102</v>
      </c>
      <c r="B11" s="13">
        <f>IF(E11="Normal",0,IF(E11="Warning",50,IF(E11="Critical",100,0)))</f>
        <v>50</v>
      </c>
      <c r="C11" s="13">
        <v>20</v>
      </c>
      <c r="D11" s="13">
        <f t="shared" si="1"/>
        <v>10</v>
      </c>
      <c r="E11" s="13" t="str">
        <f>Diagnosis!E10</f>
        <v>Warning</v>
      </c>
    </row>
    <row r="12" spans="1:5" ht="19.95" customHeight="1" x14ac:dyDescent="0.25">
      <c r="A12" s="15" t="s">
        <v>175</v>
      </c>
      <c r="B12" s="13"/>
      <c r="C12" s="13">
        <f>SUM(C7:C11)</f>
        <v>100</v>
      </c>
      <c r="D12" s="13">
        <f>SUM(D7:D11)</f>
        <v>16.25</v>
      </c>
      <c r="E12" s="13"/>
    </row>
    <row r="13" spans="1:5" ht="19.95" customHeight="1" x14ac:dyDescent="0.25">
      <c r="B13" s="13"/>
      <c r="C13" s="13"/>
      <c r="D13" s="13"/>
      <c r="E13" s="13"/>
    </row>
  </sheetData>
  <conditionalFormatting sqref="B3">
    <cfRule type="cellIs" dxfId="19" priority="7" operator="equal">
      <formula>"Moderate"</formula>
    </cfRule>
    <cfRule type="cellIs" dxfId="18" priority="8" operator="equal">
      <formula>"Low"</formula>
    </cfRule>
    <cfRule type="cellIs" dxfId="17" priority="13" operator="equal">
      <formula>$B$3="Very High"</formula>
    </cfRule>
    <cfRule type="cellIs" dxfId="16" priority="14" operator="equal">
      <formula>$B$3="High"</formula>
    </cfRule>
    <cfRule type="cellIs" dxfId="15" priority="15" operator="equal">
      <formula>$B$3="Moderate"</formula>
    </cfRule>
    <cfRule type="cellIs" dxfId="14" priority="16" operator="equal">
      <formula>$B$3="Low"</formula>
    </cfRule>
  </conditionalFormatting>
  <conditionalFormatting sqref="B2">
    <cfRule type="cellIs" dxfId="13" priority="1" operator="between">
      <formula>0</formula>
      <formula>20</formula>
    </cfRule>
    <cfRule type="cellIs" dxfId="12" priority="2" operator="equal">
      <formula>"&gt;70"</formula>
    </cfRule>
    <cfRule type="cellIs" dxfId="11" priority="4" operator="between">
      <formula>40.01</formula>
      <formula>70</formula>
    </cfRule>
    <cfRule type="cellIs" dxfId="10" priority="5" operator="between">
      <formula>20.01</formula>
      <formula>40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topLeftCell="B1" workbookViewId="0">
      <selection activeCell="C11" sqref="C11"/>
    </sheetView>
  </sheetViews>
  <sheetFormatPr defaultColWidth="20.796875" defaultRowHeight="19.95" customHeight="1" x14ac:dyDescent="0.25"/>
  <cols>
    <col min="1" max="1" width="20.796875" style="15"/>
    <col min="2" max="2" width="29.59765625" style="15" customWidth="1"/>
    <col min="3" max="6" width="20.796875" style="15"/>
    <col min="7" max="7" width="23.796875" style="15" customWidth="1"/>
    <col min="8" max="16384" width="20.796875" style="15"/>
  </cols>
  <sheetData>
    <row r="1" spans="1:8" ht="19.95" customHeight="1" x14ac:dyDescent="0.3">
      <c r="B1" s="60" t="s">
        <v>191</v>
      </c>
      <c r="C1" s="61">
        <f>COUNTIF(E7:E13,"&lt;&gt;No Alarm")</f>
        <v>3</v>
      </c>
    </row>
    <row r="2" spans="1:8" ht="19.95" customHeight="1" x14ac:dyDescent="0.3">
      <c r="B2" s="60" t="s">
        <v>192</v>
      </c>
      <c r="C2" s="61">
        <f>COUNTIF(E7:E13,"Critical Alarm")</f>
        <v>0</v>
      </c>
    </row>
    <row r="3" spans="1:8" ht="19.95" customHeight="1" x14ac:dyDescent="0.3">
      <c r="B3" s="60" t="s">
        <v>193</v>
      </c>
      <c r="C3" s="61">
        <f>COUNTIF(E7:E13,"Warning Alarm")</f>
        <v>3</v>
      </c>
    </row>
    <row r="6" spans="1:8" ht="19.95" customHeight="1" x14ac:dyDescent="0.25">
      <c r="A6" s="69" t="s">
        <v>188</v>
      </c>
      <c r="B6" s="69" t="s">
        <v>75</v>
      </c>
      <c r="C6" s="69" t="s">
        <v>189</v>
      </c>
      <c r="D6" s="69" t="s">
        <v>152</v>
      </c>
      <c r="E6" s="69" t="s">
        <v>190</v>
      </c>
      <c r="F6" s="69" t="s">
        <v>159</v>
      </c>
      <c r="G6" s="69" t="s">
        <v>155</v>
      </c>
      <c r="H6" s="69" t="s">
        <v>108</v>
      </c>
    </row>
    <row r="7" spans="1:8" ht="19.95" customHeight="1" x14ac:dyDescent="0.25">
      <c r="A7" s="15" t="str">
        <f>"AL"&amp;TEXT(ROW()-6,"000")</f>
        <v>AL001</v>
      </c>
      <c r="B7" s="15" t="str">
        <f>Diagnosis!A4</f>
        <v>Effluent Total Suspended Solids</v>
      </c>
      <c r="C7" s="13">
        <f>Diagnosis!B4</f>
        <v>14.9</v>
      </c>
      <c r="D7" s="13" t="str">
        <f>Diagnosis!E4</f>
        <v>Normal</v>
      </c>
      <c r="E7" s="13" t="str">
        <f>IF(D7="Normal","No Alarm",IF(D7="Warning","Warning Alarm","Critical Alarm"))</f>
        <v>No Alarm</v>
      </c>
      <c r="F7" s="13" t="str">
        <f>Diagnosis!J4</f>
        <v>Low</v>
      </c>
      <c r="G7" s="15" t="str">
        <f>Diagnosis!H4</f>
        <v>Continue routine effluent quality monitoring</v>
      </c>
      <c r="H7" s="13" t="str">
        <f>Diagnosis!I4</f>
        <v>Water Quality</v>
      </c>
    </row>
    <row r="8" spans="1:8" ht="19.95" customHeight="1" x14ac:dyDescent="0.25">
      <c r="A8" s="15" t="str">
        <f t="shared" ref="A8:A13" si="0">"AL"&amp;TEXT(ROW()-6,"000")</f>
        <v>AL002</v>
      </c>
      <c r="B8" s="15" t="str">
        <f>Diagnosis!A5</f>
        <v>Sludge Volume Index</v>
      </c>
      <c r="C8" s="70">
        <f>Diagnosis!B5</f>
        <v>98.039215686274517</v>
      </c>
      <c r="D8" s="13" t="str">
        <f>Diagnosis!E5</f>
        <v>Normal</v>
      </c>
      <c r="E8" s="13" t="str">
        <f t="shared" ref="E8:E13" si="1">IF(D8="Normal","No Alarm",IF(D8="Warning","Warning Alarm","Critical Alarm"))</f>
        <v>No Alarm</v>
      </c>
      <c r="F8" s="13" t="str">
        <f>Diagnosis!J5</f>
        <v>Low</v>
      </c>
      <c r="G8" s="15" t="str">
        <f>Diagnosis!H5</f>
        <v>Continue routine sludge settling monitoring</v>
      </c>
      <c r="H8" s="13" t="str">
        <f>Diagnosis!I5</f>
        <v>Settling</v>
      </c>
    </row>
    <row r="9" spans="1:8" ht="19.95" customHeight="1" x14ac:dyDescent="0.25">
      <c r="A9" s="15" t="str">
        <f t="shared" si="0"/>
        <v>AL003</v>
      </c>
      <c r="B9" s="15" t="str">
        <f>Diagnosis!A6</f>
        <v>Sludge Blanket Depth</v>
      </c>
      <c r="C9" s="13">
        <f>Diagnosis!B6</f>
        <v>0.41</v>
      </c>
      <c r="D9" s="13" t="str">
        <f>Diagnosis!E6</f>
        <v>Normal</v>
      </c>
      <c r="E9" s="13" t="str">
        <f t="shared" si="1"/>
        <v>No Alarm</v>
      </c>
      <c r="F9" s="13" t="str">
        <f>Diagnosis!J6</f>
        <v>Low</v>
      </c>
      <c r="G9" s="15" t="str">
        <f>Diagnosis!H6</f>
        <v>Continue routine sludge blanket monitoring</v>
      </c>
      <c r="H9" s="13" t="str">
        <f>Diagnosis!I6</f>
        <v>Sludge Management</v>
      </c>
    </row>
    <row r="10" spans="1:8" ht="19.95" customHeight="1" x14ac:dyDescent="0.25">
      <c r="A10" s="15" t="str">
        <f t="shared" si="0"/>
        <v>AL004</v>
      </c>
      <c r="B10" s="15" t="str">
        <f>Diagnosis!A7</f>
        <v>Surface Overflow Rate</v>
      </c>
      <c r="C10" s="70">
        <f>Diagnosis!B7</f>
        <v>14.032338308457712</v>
      </c>
      <c r="D10" s="13" t="str">
        <f>Diagnosis!E7</f>
        <v>Underloaded</v>
      </c>
      <c r="E10" s="13" t="str">
        <f>IF(D10="Normal","No Alarm",IF(D10="Underloaded","Warning Alarm",IF(D10="Warning","Warning Alarm",IF(D10="Critical","Critical Alarm","No Alarm"))))</f>
        <v>Warning Alarm</v>
      </c>
      <c r="F10" s="13" t="str">
        <f>Diagnosis!J7</f>
        <v>Low</v>
      </c>
      <c r="G10" s="15" t="str">
        <f>Diagnosis!H7</f>
        <v>Verify influent flow and confirm the number of clarifiers in service; check whether available clarifier capacity exceeds current hydraulic demand</v>
      </c>
      <c r="H10" s="13" t="str">
        <f>Diagnosis!I7</f>
        <v>Hydraulic</v>
      </c>
    </row>
    <row r="11" spans="1:8" ht="19.95" customHeight="1" x14ac:dyDescent="0.25">
      <c r="A11" s="15" t="str">
        <f t="shared" si="0"/>
        <v>AL005</v>
      </c>
      <c r="B11" s="15" t="str">
        <f>Diagnosis!A8</f>
        <v>Solids Loading Rate</v>
      </c>
      <c r="C11" s="70">
        <f>Diagnosis!B8</f>
        <v>2.0038179104477609</v>
      </c>
      <c r="D11" s="13" t="str">
        <f>Diagnosis!E8</f>
        <v>Underloaded</v>
      </c>
      <c r="E11" s="13" t="str">
        <f>IF(D11="Normal","No Alarm",IF(D11="Underloaded","Warning Alarm",IF(D11="Warning","Warning Alarm",IF(D11="Critical","Critical Alarm","No Alarm"))))</f>
        <v>Warning Alarm</v>
      </c>
      <c r="F11" s="13" t="str">
        <f>Diagnosis!J8</f>
        <v>Low</v>
      </c>
      <c r="G11" s="15" t="str">
        <f>Diagnosis!H8</f>
        <v>Verify influent TSS, influent flow, RAS solids concentration and number of clarifiers in service</v>
      </c>
      <c r="H11" s="13" t="str">
        <f>Diagnosis!I8</f>
        <v>Solids Loading</v>
      </c>
    </row>
    <row r="12" spans="1:8" ht="19.95" customHeight="1" x14ac:dyDescent="0.25">
      <c r="A12" s="15" t="str">
        <f t="shared" si="0"/>
        <v>AL006</v>
      </c>
      <c r="B12" s="15" t="str">
        <f>Diagnosis!A9</f>
        <v>Return Activated Sludge Ratio</v>
      </c>
      <c r="C12" s="13">
        <f>Diagnosis!B9</f>
        <v>60</v>
      </c>
      <c r="D12" s="13" t="str">
        <f>Diagnosis!E9</f>
        <v>Normal</v>
      </c>
      <c r="E12" s="13" t="str">
        <f t="shared" si="1"/>
        <v>No Alarm</v>
      </c>
      <c r="F12" s="13" t="str">
        <f>Diagnosis!J9</f>
        <v>Low</v>
      </c>
      <c r="G12" s="15" t="str">
        <f>Diagnosis!H9</f>
        <v>Continue routine RAS monitoring</v>
      </c>
      <c r="H12" s="13" t="str">
        <f>Diagnosis!I9</f>
        <v>Sludge Management</v>
      </c>
    </row>
    <row r="13" spans="1:8" ht="19.95" customHeight="1" x14ac:dyDescent="0.25">
      <c r="A13" s="15" t="str">
        <f t="shared" si="0"/>
        <v>AL007</v>
      </c>
      <c r="B13" s="15" t="str">
        <f>Diagnosis!A10</f>
        <v>Hydraulic Retention Time</v>
      </c>
      <c r="C13" s="70">
        <f>Diagnosis!B10</f>
        <v>4.2758376174437149</v>
      </c>
      <c r="D13" s="13" t="str">
        <f>Diagnosis!E10</f>
        <v>Warning</v>
      </c>
      <c r="E13" s="13" t="str">
        <f t="shared" si="1"/>
        <v>Warning Alarm</v>
      </c>
      <c r="F13" s="13" t="str">
        <f>Diagnosis!J10</f>
        <v>Medium</v>
      </c>
      <c r="G13" s="15" t="str">
        <f>Diagnosis!H10</f>
        <v>Verify influent flow and clarifier operating configuration</v>
      </c>
      <c r="H13" s="13" t="str">
        <f>Diagnosis!I10</f>
        <v>Hydraulic</v>
      </c>
    </row>
  </sheetData>
  <conditionalFormatting sqref="E7:E13">
    <cfRule type="cellIs" dxfId="9" priority="4" operator="equal">
      <formula>"Critical Alarm"</formula>
    </cfRule>
    <cfRule type="cellIs" dxfId="8" priority="5" operator="equal">
      <formula>"Warning Alarm"</formula>
    </cfRule>
    <cfRule type="cellIs" dxfId="7" priority="6" operator="equal">
      <formula>"No Alarm"</formula>
    </cfRule>
  </conditionalFormatting>
  <conditionalFormatting sqref="F7:F13">
    <cfRule type="cellIs" dxfId="6" priority="3" operator="equal">
      <formula>"Low"</formula>
    </cfRule>
  </conditionalFormatting>
  <conditionalFormatting sqref="F7:F13">
    <cfRule type="cellIs" dxfId="5" priority="2" operator="equal">
      <formula>"Medium"</formula>
    </cfRule>
  </conditionalFormatting>
  <conditionalFormatting sqref="F7:F13">
    <cfRule type="cellIs" dxfId="4" priority="1" operator="equal">
      <formula>"High"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workbookViewId="0">
      <selection activeCell="D8" sqref="D8"/>
    </sheetView>
  </sheetViews>
  <sheetFormatPr defaultColWidth="20.796875" defaultRowHeight="19.95" customHeight="1" x14ac:dyDescent="0.25"/>
  <cols>
    <col min="1" max="1" width="27.19921875" style="15" customWidth="1"/>
    <col min="2" max="16384" width="20.796875" style="15"/>
  </cols>
  <sheetData>
    <row r="1" spans="1:4" ht="19.95" customHeight="1" x14ac:dyDescent="0.3">
      <c r="A1" s="60" t="s">
        <v>160</v>
      </c>
      <c r="B1" s="72">
        <f>Diagnosis!B2</f>
        <v>160</v>
      </c>
    </row>
    <row r="2" spans="1:4" ht="19.95" customHeight="1" x14ac:dyDescent="0.25">
      <c r="A2" s="15" t="s">
        <v>194</v>
      </c>
      <c r="B2" s="13">
        <f>D12</f>
        <v>83.25</v>
      </c>
    </row>
    <row r="3" spans="1:4" ht="19.95" customHeight="1" x14ac:dyDescent="0.25">
      <c r="A3" s="15" t="s">
        <v>195</v>
      </c>
      <c r="B3" s="13" t="str">
        <f>IF(B2&gt;=85,"Excellent",IF(B2&gt;=70,"Good",IF(B2&gt;=50,"Fair","Poor")))</f>
        <v>Good</v>
      </c>
    </row>
    <row r="4" spans="1:4" ht="19.95" customHeight="1" x14ac:dyDescent="0.25">
      <c r="A4" s="15" t="s">
        <v>196</v>
      </c>
      <c r="B4" s="73" t="str">
        <f>IF(B3="Excellent","Excellent operation. Continue current operating strategy.",IF(B3="Good","Good performance. Continue routine monitoring.",IF(B3="Fair","Performance needs improvement. Review operational conditions.","Immediate corrective action and supervisor intervention required.")))</f>
        <v>Good performance. Continue routine monitoring.</v>
      </c>
    </row>
    <row r="7" spans="1:4" s="16" customFormat="1" ht="19.95" customHeight="1" x14ac:dyDescent="0.25">
      <c r="A7" s="71" t="s">
        <v>197</v>
      </c>
      <c r="B7" s="16" t="s">
        <v>172</v>
      </c>
      <c r="C7" s="16" t="s">
        <v>173</v>
      </c>
      <c r="D7" s="16" t="s">
        <v>174</v>
      </c>
    </row>
    <row r="8" spans="1:4" ht="19.95" customHeight="1" x14ac:dyDescent="0.25">
      <c r="A8" s="54" t="s">
        <v>198</v>
      </c>
      <c r="B8" s="13">
        <f>'Clarifier Health Index CHI'!B2</f>
        <v>97</v>
      </c>
      <c r="C8" s="13">
        <v>40</v>
      </c>
      <c r="D8" s="13">
        <f>B8*C8/100</f>
        <v>38.799999999999997</v>
      </c>
    </row>
    <row r="9" spans="1:4" ht="19.95" customHeight="1" x14ac:dyDescent="0.25">
      <c r="A9" s="54" t="s">
        <v>199</v>
      </c>
      <c r="B9" s="13">
        <f>'Clarifier Stability Index CSI'!B2</f>
        <v>69</v>
      </c>
      <c r="C9" s="13">
        <v>30</v>
      </c>
      <c r="D9" s="13">
        <f>B9*C9/100</f>
        <v>20.7</v>
      </c>
    </row>
    <row r="10" spans="1:4" ht="19.95" customHeight="1" x14ac:dyDescent="0.25">
      <c r="A10" s="54" t="s">
        <v>200</v>
      </c>
      <c r="B10" s="13">
        <f>100-'Clarifier Risk Index CRI'!B2</f>
        <v>83.75</v>
      </c>
      <c r="C10" s="13">
        <v>20</v>
      </c>
      <c r="D10" s="13">
        <f>B10*C10/100</f>
        <v>16.75</v>
      </c>
    </row>
    <row r="11" spans="1:4" ht="19.95" customHeight="1" x14ac:dyDescent="0.25">
      <c r="A11" s="54" t="s">
        <v>201</v>
      </c>
      <c r="B11" s="13">
        <f>MAX(0,100-('Smart Alarm System'!C2*25+'Smart Alarm System'!C3*10))</f>
        <v>70</v>
      </c>
      <c r="C11" s="13">
        <v>10</v>
      </c>
      <c r="D11" s="13">
        <f>B11*C11/100</f>
        <v>7</v>
      </c>
    </row>
    <row r="12" spans="1:4" ht="19.95" customHeight="1" x14ac:dyDescent="0.25">
      <c r="A12" s="54" t="s">
        <v>175</v>
      </c>
      <c r="B12" s="13"/>
      <c r="C12" s="13">
        <v>100</v>
      </c>
      <c r="D12" s="13">
        <f>SUM(D8:D11)</f>
        <v>83.25</v>
      </c>
    </row>
  </sheetData>
  <conditionalFormatting sqref="B3">
    <cfRule type="cellIs" dxfId="3" priority="1" operator="equal">
      <formula>"Poor"</formula>
    </cfRule>
    <cfRule type="cellIs" dxfId="2" priority="2" operator="equal">
      <formula>"Fair"</formula>
    </cfRule>
    <cfRule type="cellIs" dxfId="1" priority="3" operator="equal">
      <formula>"Good"</formula>
    </cfRule>
    <cfRule type="cellIs" dxfId="0" priority="4" operator="equal">
      <formula>"Excellent"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plant information</vt:lpstr>
      <vt:lpstr>Calculation</vt:lpstr>
      <vt:lpstr>statistical analysis</vt:lpstr>
      <vt:lpstr>Scientific References</vt:lpstr>
      <vt:lpstr>Diagnosis</vt:lpstr>
      <vt:lpstr>Clarifier Health Index CHI</vt:lpstr>
      <vt:lpstr>Clarifier Stability Index CSI</vt:lpstr>
      <vt:lpstr>Clarifier Risk Index CRI</vt:lpstr>
      <vt:lpstr>Smart Alarm System</vt:lpstr>
      <vt:lpstr>Operator 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Noora Salam</cp:lastModifiedBy>
  <dcterms:created xsi:type="dcterms:W3CDTF">2026-07-07T14:21:42Z</dcterms:created>
  <dcterms:modified xsi:type="dcterms:W3CDTF">2026-09-14T22:08:04Z</dcterms:modified>
</cp:coreProperties>
</file>